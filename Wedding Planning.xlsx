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ohnboddiford/Documents/Wedding/"/>
    </mc:Choice>
  </mc:AlternateContent>
  <xr:revisionPtr revIDLastSave="0" documentId="13_ncr:1_{5D2E5A8B-2CDD-984F-B19B-19003ED3C004}" xr6:coauthVersionLast="47" xr6:coauthVersionMax="47" xr10:uidLastSave="{00000000-0000-0000-0000-000000000000}"/>
  <bookViews>
    <workbookView xWindow="0" yWindow="760" windowWidth="29140" windowHeight="14940" activeTab="2" xr2:uid="{00000000-000D-0000-FFFF-FFFF00000000}"/>
  </bookViews>
  <sheets>
    <sheet name="Master Invite List" sheetId="1" r:id="rId1"/>
    <sheet name="England and Scotland" sheetId="4" r:id="rId2"/>
    <sheet name="France" sheetId="6" r:id="rId3"/>
    <sheet name="John B" sheetId="2" state="hidden" r:id="rId4"/>
    <sheet name="Darling" sheetId="3" state="hidden" r:id="rId5"/>
  </sheets>
  <definedNames>
    <definedName name="_xlnm._FilterDatabase" localSheetId="0" hidden="1">'Master Invite List'!$A$1:$H$180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8" i="1" l="1"/>
  <c r="D198" i="1"/>
  <c r="C198" i="1"/>
  <c r="B198" i="1"/>
  <c r="E197" i="1"/>
  <c r="D197" i="1"/>
  <c r="C197" i="1"/>
  <c r="B197" i="1"/>
  <c r="E196" i="1"/>
  <c r="D196" i="1"/>
  <c r="C196" i="1"/>
  <c r="B196" i="1"/>
  <c r="E195" i="1"/>
  <c r="D195" i="1"/>
  <c r="C195" i="1"/>
  <c r="B195" i="1"/>
  <c r="E194" i="1"/>
  <c r="D194" i="1"/>
  <c r="C194" i="1"/>
  <c r="B194" i="1"/>
  <c r="D188" i="1"/>
  <c r="C188" i="1"/>
  <c r="B188" i="1"/>
  <c r="D187" i="1"/>
  <c r="C187" i="1"/>
  <c r="B187" i="1"/>
  <c r="D186" i="1"/>
  <c r="C186" i="1"/>
  <c r="B186" i="1"/>
  <c r="H77" i="1"/>
  <c r="E77" i="1"/>
  <c r="H49" i="1"/>
  <c r="E49" i="1"/>
  <c r="H31" i="1"/>
  <c r="E31" i="1"/>
  <c r="H32" i="1"/>
  <c r="E32" i="1"/>
  <c r="H135" i="1"/>
  <c r="E135" i="1"/>
  <c r="H57" i="1"/>
  <c r="E57" i="1"/>
  <c r="H39" i="1"/>
  <c r="E39" i="1"/>
  <c r="H54" i="1"/>
  <c r="E54" i="1"/>
  <c r="H131" i="1"/>
  <c r="E131" i="1"/>
  <c r="H161" i="1"/>
  <c r="E161" i="1"/>
  <c r="H76" i="1"/>
  <c r="E76" i="1"/>
  <c r="H178" i="1"/>
  <c r="E178" i="1"/>
  <c r="H100" i="1"/>
  <c r="E100" i="1"/>
  <c r="H143" i="1"/>
  <c r="E143" i="1"/>
  <c r="H9" i="1"/>
  <c r="E9" i="1"/>
  <c r="H34" i="1"/>
  <c r="E34" i="1"/>
  <c r="H65" i="1"/>
  <c r="E65" i="1"/>
  <c r="H107" i="1"/>
  <c r="E107" i="1"/>
  <c r="H149" i="1"/>
  <c r="E149" i="1"/>
  <c r="H4" i="1"/>
  <c r="E4" i="1"/>
  <c r="H127" i="1"/>
  <c r="E127" i="1"/>
  <c r="H89" i="1"/>
  <c r="E89" i="1"/>
  <c r="H99" i="1"/>
  <c r="E99" i="1"/>
  <c r="H104" i="1"/>
  <c r="E104" i="1"/>
  <c r="H165" i="1"/>
  <c r="E165" i="1"/>
  <c r="H103" i="1"/>
  <c r="E103" i="1"/>
  <c r="H87" i="1"/>
  <c r="E87" i="1"/>
  <c r="H153" i="1"/>
  <c r="E153" i="1"/>
  <c r="H91" i="1"/>
  <c r="E91" i="1"/>
  <c r="H120" i="1"/>
  <c r="E120" i="1"/>
  <c r="H59" i="1"/>
  <c r="E59" i="1"/>
  <c r="H122" i="1"/>
  <c r="E122" i="1"/>
  <c r="H73" i="1"/>
  <c r="E73" i="1"/>
  <c r="H17" i="1"/>
  <c r="E17" i="1"/>
  <c r="H97" i="1"/>
  <c r="E97" i="1"/>
  <c r="H175" i="1"/>
  <c r="E175" i="1"/>
  <c r="H128" i="1"/>
  <c r="E128" i="1"/>
  <c r="H7" i="1"/>
  <c r="E7" i="1"/>
  <c r="H111" i="1"/>
  <c r="E111" i="1"/>
  <c r="H105" i="1"/>
  <c r="E105" i="1"/>
  <c r="H71" i="1"/>
  <c r="E71" i="1"/>
  <c r="H130" i="1"/>
  <c r="E130" i="1"/>
  <c r="H67" i="1"/>
  <c r="E67" i="1"/>
  <c r="H53" i="1"/>
  <c r="E53" i="1"/>
  <c r="H162" i="1"/>
  <c r="E162" i="1"/>
  <c r="H86" i="1"/>
  <c r="E86" i="1"/>
  <c r="H139" i="1"/>
  <c r="E139" i="1"/>
  <c r="H119" i="1"/>
  <c r="E119" i="1"/>
  <c r="H141" i="1"/>
  <c r="E141" i="1"/>
  <c r="H55" i="1"/>
  <c r="E55" i="1"/>
  <c r="H94" i="1"/>
  <c r="E94" i="1"/>
  <c r="H79" i="1"/>
  <c r="E79" i="1"/>
  <c r="H42" i="1"/>
  <c r="E42" i="1"/>
  <c r="H117" i="1"/>
  <c r="E117" i="1"/>
  <c r="H29" i="1"/>
  <c r="E29" i="1"/>
  <c r="H38" i="1"/>
  <c r="E38" i="1"/>
  <c r="H68" i="1"/>
  <c r="E68" i="1"/>
  <c r="H118" i="1"/>
  <c r="E118" i="1"/>
  <c r="H58" i="1"/>
  <c r="E58" i="1"/>
  <c r="H138" i="1"/>
  <c r="E138" i="1"/>
  <c r="H26" i="1"/>
  <c r="E26" i="1"/>
  <c r="H15" i="1"/>
  <c r="E15" i="1"/>
  <c r="H176" i="1"/>
  <c r="E176" i="1"/>
  <c r="H116" i="1"/>
  <c r="E116" i="1"/>
  <c r="H152" i="1"/>
  <c r="E152" i="1"/>
  <c r="H43" i="1"/>
  <c r="E43" i="1"/>
  <c r="H5" i="1"/>
  <c r="E5" i="1"/>
  <c r="H110" i="1"/>
  <c r="E110" i="1"/>
  <c r="H142" i="1"/>
  <c r="E142" i="1"/>
  <c r="H63" i="1"/>
  <c r="E63" i="1"/>
  <c r="H154" i="1"/>
  <c r="E154" i="1"/>
  <c r="H75" i="1"/>
  <c r="E75" i="1"/>
  <c r="H169" i="1"/>
  <c r="E169" i="1"/>
  <c r="H35" i="1"/>
  <c r="E35" i="1"/>
  <c r="H64" i="1"/>
  <c r="E64" i="1"/>
  <c r="H66" i="1"/>
  <c r="E66" i="1"/>
  <c r="H147" i="1"/>
  <c r="E147" i="1"/>
  <c r="H160" i="1"/>
  <c r="E160" i="1"/>
  <c r="H84" i="1"/>
  <c r="E84" i="1"/>
  <c r="H60" i="1"/>
  <c r="E60" i="1"/>
  <c r="H72" i="1"/>
  <c r="E72" i="1"/>
  <c r="H78" i="1"/>
  <c r="E78" i="1"/>
  <c r="H33" i="1"/>
  <c r="E33" i="1"/>
  <c r="H102" i="1"/>
  <c r="E102" i="1"/>
  <c r="H156" i="1"/>
  <c r="E156" i="1"/>
  <c r="H151" i="1"/>
  <c r="E151" i="1"/>
  <c r="H159" i="1"/>
  <c r="E159" i="1"/>
  <c r="H140" i="1"/>
  <c r="E140" i="1"/>
  <c r="H115" i="1"/>
  <c r="E115" i="1"/>
  <c r="H6" i="1"/>
  <c r="E6" i="1"/>
  <c r="H92" i="1"/>
  <c r="E92" i="1"/>
  <c r="H126" i="1"/>
  <c r="E126" i="1"/>
  <c r="H50" i="1"/>
  <c r="E50" i="1"/>
  <c r="H157" i="1"/>
  <c r="E157" i="1"/>
  <c r="H96" i="1"/>
  <c r="E96" i="1"/>
  <c r="H51" i="1"/>
  <c r="E51" i="1"/>
  <c r="H30" i="1"/>
  <c r="E30" i="1"/>
  <c r="H41" i="1"/>
  <c r="E41" i="1"/>
  <c r="H81" i="1"/>
  <c r="E81" i="1"/>
  <c r="H109" i="1"/>
  <c r="E109" i="1"/>
  <c r="H28" i="1"/>
  <c r="E28" i="1"/>
  <c r="H158" i="1"/>
  <c r="E158" i="1"/>
  <c r="H46" i="1"/>
  <c r="E46" i="1"/>
  <c r="H133" i="1"/>
  <c r="E133" i="1"/>
  <c r="H24" i="1"/>
  <c r="E24" i="1"/>
  <c r="H23" i="1"/>
  <c r="E23" i="1"/>
  <c r="H136" i="1"/>
  <c r="E136" i="1"/>
  <c r="H62" i="1"/>
  <c r="E62" i="1"/>
  <c r="H90" i="1"/>
  <c r="E90" i="1"/>
  <c r="H163" i="1"/>
  <c r="E163" i="1"/>
  <c r="H56" i="1"/>
  <c r="E56" i="1"/>
  <c r="H121" i="1"/>
  <c r="E121" i="1"/>
  <c r="H123" i="1"/>
  <c r="E123" i="1"/>
  <c r="H148" i="1"/>
  <c r="E148" i="1"/>
  <c r="H2" i="1"/>
  <c r="E2" i="1"/>
  <c r="H112" i="1"/>
  <c r="E112" i="1"/>
  <c r="H167" i="1"/>
  <c r="E167" i="1"/>
  <c r="H155" i="1"/>
  <c r="E155" i="1"/>
  <c r="H150" i="1"/>
  <c r="E150" i="1"/>
  <c r="H74" i="1"/>
  <c r="E74" i="1"/>
  <c r="H61" i="1"/>
  <c r="E61" i="1"/>
  <c r="H98" i="1"/>
  <c r="E98" i="1"/>
  <c r="H88" i="1"/>
  <c r="E88" i="1"/>
  <c r="H36" i="1"/>
  <c r="E36" i="1"/>
  <c r="H177" i="1"/>
  <c r="E177" i="1"/>
  <c r="H18" i="1"/>
  <c r="E18" i="1"/>
  <c r="H95" i="1"/>
  <c r="E95" i="1"/>
  <c r="H27" i="1"/>
  <c r="E27" i="1"/>
  <c r="H47" i="1"/>
  <c r="E47" i="1"/>
  <c r="H108" i="1"/>
  <c r="E108" i="1"/>
  <c r="H16" i="1"/>
  <c r="E16" i="1"/>
  <c r="H21" i="1"/>
  <c r="E21" i="1"/>
  <c r="H166" i="1"/>
  <c r="E166" i="1"/>
  <c r="H44" i="1"/>
  <c r="E44" i="1"/>
  <c r="H93" i="1"/>
  <c r="E93" i="1"/>
  <c r="H25" i="1"/>
  <c r="E25" i="1"/>
  <c r="H113" i="1"/>
  <c r="E113" i="1"/>
  <c r="H168" i="1"/>
  <c r="E168" i="1"/>
  <c r="H132" i="1"/>
  <c r="E132" i="1"/>
  <c r="H20" i="1"/>
  <c r="E20" i="1"/>
  <c r="H106" i="1"/>
  <c r="E106" i="1"/>
  <c r="H82" i="1"/>
  <c r="E82" i="1"/>
  <c r="H146" i="1"/>
  <c r="E146" i="1"/>
  <c r="H144" i="1"/>
  <c r="E144" i="1"/>
  <c r="H40" i="1"/>
  <c r="E40" i="1"/>
  <c r="H164" i="1"/>
  <c r="E164" i="1"/>
  <c r="H19" i="1"/>
  <c r="E19" i="1"/>
  <c r="H10" i="1"/>
  <c r="E10" i="1"/>
  <c r="H37" i="1"/>
  <c r="E37" i="1"/>
  <c r="H22" i="1"/>
  <c r="E22" i="1"/>
  <c r="H13" i="1"/>
  <c r="E13" i="1"/>
  <c r="H170" i="1"/>
  <c r="E170" i="1"/>
  <c r="H173" i="1"/>
  <c r="E173" i="1"/>
  <c r="H124" i="1"/>
  <c r="E124" i="1"/>
  <c r="H172" i="1"/>
  <c r="E172" i="1"/>
  <c r="H83" i="1"/>
  <c r="E83" i="1"/>
  <c r="H11" i="1"/>
  <c r="E11" i="1"/>
  <c r="H129" i="1"/>
  <c r="E129" i="1"/>
  <c r="H137" i="1"/>
  <c r="E137" i="1"/>
  <c r="H174" i="1"/>
  <c r="E174" i="1"/>
  <c r="H14" i="1"/>
  <c r="E14" i="1"/>
  <c r="H180" i="1"/>
  <c r="E180" i="1"/>
  <c r="H179" i="1"/>
  <c r="E179" i="1"/>
  <c r="H80" i="1"/>
  <c r="E80" i="1"/>
  <c r="H134" i="1"/>
  <c r="E134" i="1"/>
  <c r="H171" i="1"/>
  <c r="E171" i="1"/>
  <c r="H12" i="1"/>
  <c r="E12" i="1"/>
  <c r="H145" i="1"/>
  <c r="E145" i="1"/>
  <c r="H69" i="1"/>
  <c r="E69" i="1"/>
  <c r="H70" i="1"/>
  <c r="E70" i="1"/>
  <c r="H45" i="1"/>
  <c r="E45" i="1"/>
  <c r="H125" i="1"/>
  <c r="E125" i="1"/>
  <c r="H52" i="1"/>
  <c r="E52" i="1"/>
  <c r="H101" i="1"/>
  <c r="E101" i="1"/>
  <c r="H8" i="1"/>
  <c r="E8" i="1"/>
  <c r="H3" i="1"/>
  <c r="E3" i="1"/>
  <c r="H48" i="1"/>
  <c r="E48" i="1"/>
  <c r="H114" i="1"/>
  <c r="E114" i="1"/>
  <c r="H85" i="1"/>
  <c r="E85" i="1"/>
</calcChain>
</file>

<file path=xl/sharedStrings.xml><?xml version="1.0" encoding="utf-8"?>
<sst xmlns="http://schemas.openxmlformats.org/spreadsheetml/2006/main" count="1689" uniqueCount="533">
  <si>
    <t>Name</t>
  </si>
  <si>
    <t>Engagement Party</t>
  </si>
  <si>
    <t>Maryland Celebration</t>
  </si>
  <si>
    <t>Wedding</t>
  </si>
  <si>
    <t>Total Events</t>
  </si>
  <si>
    <t>Category</t>
  </si>
  <si>
    <t>Source</t>
  </si>
  <si>
    <t>Guest ID</t>
  </si>
  <si>
    <t>Me</t>
  </si>
  <si>
    <t>Extended Family</t>
  </si>
  <si>
    <t>John B</t>
  </si>
  <si>
    <t>Mama</t>
  </si>
  <si>
    <t>Friends</t>
  </si>
  <si>
    <t>Dad</t>
  </si>
  <si>
    <t>Fringe</t>
  </si>
  <si>
    <t>Alex</t>
  </si>
  <si>
    <t>Not Expecting</t>
  </si>
  <si>
    <t>April</t>
  </si>
  <si>
    <t>Family</t>
  </si>
  <si>
    <t>Liz</t>
  </si>
  <si>
    <t>David</t>
  </si>
  <si>
    <t>Mere</t>
  </si>
  <si>
    <t>Coby</t>
  </si>
  <si>
    <t>Granny Coco</t>
  </si>
  <si>
    <t>Grandma</t>
  </si>
  <si>
    <t>Pop</t>
  </si>
  <si>
    <t>Aunt Nana</t>
  </si>
  <si>
    <t>Uncle Glenn</t>
  </si>
  <si>
    <t>Nick</t>
  </si>
  <si>
    <t>Jess</t>
  </si>
  <si>
    <t>Zac</t>
  </si>
  <si>
    <t>Zac's Wife</t>
  </si>
  <si>
    <t>Aunt Tricia</t>
  </si>
  <si>
    <t>Uncle Steve</t>
  </si>
  <si>
    <t>Noah</t>
  </si>
  <si>
    <t>Morgan</t>
  </si>
  <si>
    <t>Aunt Dette</t>
  </si>
  <si>
    <t>Joe Julian</t>
  </si>
  <si>
    <t>Uncle Michael</t>
  </si>
  <si>
    <t>Melissa</t>
  </si>
  <si>
    <t>Uncle Paul</t>
  </si>
  <si>
    <t>Uncle Boodie</t>
  </si>
  <si>
    <t>Aunt Susan</t>
  </si>
  <si>
    <t>Blake</t>
  </si>
  <si>
    <t>Chase</t>
  </si>
  <si>
    <t>Aunt Anne</t>
  </si>
  <si>
    <t>Bill</t>
  </si>
  <si>
    <t>Taylor</t>
  </si>
  <si>
    <t>Christian</t>
  </si>
  <si>
    <t>Phil</t>
  </si>
  <si>
    <t>Rama</t>
  </si>
  <si>
    <t>Joe Johnson</t>
  </si>
  <si>
    <t>Lois Johnson</t>
  </si>
  <si>
    <t>Bill Koras</t>
  </si>
  <si>
    <t>Mrs. Koras</t>
  </si>
  <si>
    <t>Twof</t>
  </si>
  <si>
    <t>Maggie</t>
  </si>
  <si>
    <t>Brash</t>
  </si>
  <si>
    <t>Katie</t>
  </si>
  <si>
    <t>Clayton</t>
  </si>
  <si>
    <t>Trevor</t>
  </si>
  <si>
    <t>Bingo</t>
  </si>
  <si>
    <t>Baby J</t>
  </si>
  <si>
    <t>Lucy</t>
  </si>
  <si>
    <t>Colin</t>
  </si>
  <si>
    <t>Burke</t>
  </si>
  <si>
    <t>Kelcie</t>
  </si>
  <si>
    <t>Benny</t>
  </si>
  <si>
    <t>Will Liu</t>
  </si>
  <si>
    <t>Charlotte Jiang</t>
  </si>
  <si>
    <t>Jonny Pimblett</t>
  </si>
  <si>
    <t>Laura Hindley</t>
  </si>
  <si>
    <t>Eric Hoffman</t>
  </si>
  <si>
    <t>Hannah Hoffman</t>
  </si>
  <si>
    <t>Rob Woodcock</t>
  </si>
  <si>
    <t>Sam Woodcock</t>
  </si>
  <si>
    <t>Trevor Janoskie</t>
  </si>
  <si>
    <t>Maddy Seymour</t>
  </si>
  <si>
    <t>Aidan</t>
  </si>
  <si>
    <t>Ripton Rosen</t>
  </si>
  <si>
    <t>Matt Probst</t>
  </si>
  <si>
    <t>Mat Dolan</t>
  </si>
  <si>
    <t>Eileen Dolan</t>
  </si>
  <si>
    <t xml:space="preserve">Tanner </t>
  </si>
  <si>
    <t>Kaelyn</t>
  </si>
  <si>
    <t>Fabian</t>
  </si>
  <si>
    <t>Nikki</t>
  </si>
  <si>
    <t>Brad Robertson</t>
  </si>
  <si>
    <t>Brady Badmington</t>
  </si>
  <si>
    <t>Natalie</t>
  </si>
  <si>
    <t>Cole Robertson</t>
  </si>
  <si>
    <t>Shelby</t>
  </si>
  <si>
    <t>Calvin Livingston</t>
  </si>
  <si>
    <t>Maddie</t>
  </si>
  <si>
    <t>Jim Franzoni</t>
  </si>
  <si>
    <t>Cindy Franzoni</t>
  </si>
  <si>
    <t>Cameron Franzoni</t>
  </si>
  <si>
    <t>Dave Fick</t>
  </si>
  <si>
    <t>Kelly Fick</t>
  </si>
  <si>
    <t>Shawn Brashears</t>
  </si>
  <si>
    <t>Dave Brashears</t>
  </si>
  <si>
    <t>Mike Burke</t>
  </si>
  <si>
    <t>Kathy Burke</t>
  </si>
  <si>
    <t>Annabel</t>
  </si>
  <si>
    <t>Darling</t>
  </si>
  <si>
    <t>Mar</t>
  </si>
  <si>
    <t>Par</t>
  </si>
  <si>
    <t>Soph</t>
  </si>
  <si>
    <t>Rod</t>
  </si>
  <si>
    <t>Sarah</t>
  </si>
  <si>
    <t>Charlie</t>
  </si>
  <si>
    <t>James</t>
  </si>
  <si>
    <t>Hannah</t>
  </si>
  <si>
    <t>Emily</t>
  </si>
  <si>
    <t>John</t>
  </si>
  <si>
    <t>Stu</t>
  </si>
  <si>
    <t>Rebecca</t>
  </si>
  <si>
    <t>Georgie</t>
  </si>
  <si>
    <t>Freddie</t>
  </si>
  <si>
    <t>Charlotte</t>
  </si>
  <si>
    <t>Ullis</t>
  </si>
  <si>
    <t>Henry</t>
  </si>
  <si>
    <t>Sally</t>
  </si>
  <si>
    <t>Farmor</t>
  </si>
  <si>
    <t>Per</t>
  </si>
  <si>
    <t>Maddy</t>
  </si>
  <si>
    <t>Anders</t>
  </si>
  <si>
    <t>Claire</t>
  </si>
  <si>
    <t>Roderick</t>
  </si>
  <si>
    <t>Margaux</t>
  </si>
  <si>
    <t>Will</t>
  </si>
  <si>
    <t>Axel</t>
  </si>
  <si>
    <t>Bri</t>
  </si>
  <si>
    <t>Olivia</t>
  </si>
  <si>
    <t>Elle</t>
  </si>
  <si>
    <t>Mark</t>
  </si>
  <si>
    <t>Grace</t>
  </si>
  <si>
    <t>Cam</t>
  </si>
  <si>
    <t>Maria</t>
  </si>
  <si>
    <t>CJ</t>
  </si>
  <si>
    <t>Jen Kelly</t>
  </si>
  <si>
    <t>Keith</t>
  </si>
  <si>
    <t>Did</t>
  </si>
  <si>
    <t>Parker</t>
  </si>
  <si>
    <t>Marley Kaplan</t>
  </si>
  <si>
    <t>Paola Ryckman</t>
  </si>
  <si>
    <t>John Ryckman</t>
  </si>
  <si>
    <t>Suzy Ryckman</t>
  </si>
  <si>
    <t>Deby</t>
  </si>
  <si>
    <t>Gillly Hasseldon</t>
  </si>
  <si>
    <t>Morton</t>
  </si>
  <si>
    <t>Guy Hindley</t>
  </si>
  <si>
    <t>Lizzo Hindley</t>
  </si>
  <si>
    <t>Maddy Hindley</t>
  </si>
  <si>
    <t>Annabel Hindley</t>
  </si>
  <si>
    <t>Mony</t>
  </si>
  <si>
    <t>Vireak</t>
  </si>
  <si>
    <t>Laura Frishman</t>
  </si>
  <si>
    <t>Ben L</t>
  </si>
  <si>
    <t>Hannah Garelick</t>
  </si>
  <si>
    <t>Matt</t>
  </si>
  <si>
    <t>Ellen Johnson</t>
  </si>
  <si>
    <t>Marli Siciliano</t>
  </si>
  <si>
    <t>Kaitlyn O'Donnell</t>
  </si>
  <si>
    <t>Ryan</t>
  </si>
  <si>
    <t>John Schinto</t>
  </si>
  <si>
    <t>Liz Schinto</t>
  </si>
  <si>
    <t>Taylor Schinto</t>
  </si>
  <si>
    <t>Lizzie Schmidt</t>
  </si>
  <si>
    <t>Liam</t>
  </si>
  <si>
    <t>Julia Moran</t>
  </si>
  <si>
    <t>Mike Cronin</t>
  </si>
  <si>
    <t>Allyson Angelo</t>
  </si>
  <si>
    <t>Rob Angelo</t>
  </si>
  <si>
    <t>Lori Cunningham</t>
  </si>
  <si>
    <t>Gary Cunningham</t>
  </si>
  <si>
    <t>Charlie Cunningham</t>
  </si>
  <si>
    <t>Audrey</t>
  </si>
  <si>
    <t>Peter</t>
  </si>
  <si>
    <t>Linda Jansen</t>
  </si>
  <si>
    <t>X Jansen</t>
  </si>
  <si>
    <t>Isabel Jansen</t>
  </si>
  <si>
    <t>Susan Bickham</t>
  </si>
  <si>
    <t>Mr. Bickham</t>
  </si>
  <si>
    <t>Deron Sloneker</t>
  </si>
  <si>
    <t>Chiara</t>
  </si>
  <si>
    <t>Eleanor</t>
  </si>
  <si>
    <t>Nick Berglund</t>
  </si>
  <si>
    <t>Cecilia Berglund</t>
  </si>
  <si>
    <t>Carson Brisk</t>
  </si>
  <si>
    <t>Dana Frishman</t>
  </si>
  <si>
    <t>Jake</t>
  </si>
  <si>
    <t>EVENT SUMMARY</t>
  </si>
  <si>
    <t>Event</t>
  </si>
  <si>
    <t>Total Guests</t>
  </si>
  <si>
    <t>John B Guests</t>
  </si>
  <si>
    <t>Darling Guests</t>
  </si>
  <si>
    <t>CATEGORY BREAKDOWN</t>
  </si>
  <si>
    <t>Engagement</t>
  </si>
  <si>
    <t>Maryland</t>
  </si>
  <si>
    <t>INVITES</t>
  </si>
  <si>
    <t>Legend</t>
  </si>
  <si>
    <t>Y</t>
  </si>
  <si>
    <t>N</t>
  </si>
  <si>
    <t>Iann Villar</t>
  </si>
  <si>
    <t>Janet</t>
  </si>
  <si>
    <t>*Probably won't make it</t>
  </si>
  <si>
    <t>John (me)</t>
  </si>
  <si>
    <t>Annabel (me)</t>
  </si>
  <si>
    <t>https://knebworthhouseandbarns.com/weddings-at-knebworth/</t>
  </si>
  <si>
    <t>House for ceremony; barns for winter‑proof party.</t>
  </si>
  <si>
    <t>LTN/LHR</t>
  </si>
  <si>
    <t>Nearby hotels</t>
  </si>
  <si>
    <t>By area</t>
  </si>
  <si>
    <t>Up to ~300 (barns)</t>
  </si>
  <si>
    <t>Barns 50–150; House rooms smaller</t>
  </si>
  <si>
    <t>Historic house ceremony rooms + heated barns for dinner/dancing.</t>
  </si>
  <si>
    <t>Gothic stately home with barns</t>
  </si>
  <si>
    <t>Hertfordshire, England</t>
  </si>
  <si>
    <t>https://www.wrothampark.com/</t>
  </si>
  <si>
    <t>Winter‑proof via house for cocktails + heated marquee if scaling.</t>
  </si>
  <si>
    <t>LHR/LTN</t>
  </si>
  <si>
    <t>Private (enquire)</t>
  </si>
  <si>
    <t>Yes (private estate)</t>
  </si>
  <si>
    <t>Scalable with marquee</t>
  </si>
  <si>
    <t>By arrangement (house)</t>
  </si>
  <si>
    <t>Drawing rooms for reception; marquee options to scale grand dinners.</t>
  </si>
  <si>
    <t>Private Palladian mansion on 300 acres</t>
  </si>
  <si>
    <t>https://sudeleycastle.co.uk/weddings</t>
  </si>
  <si>
    <t>Indoor library + Orangery suits winter formats.</t>
  </si>
  <si>
    <t>BHX/BRS</t>
  </si>
  <si>
    <t>Cottages nearby</t>
  </si>
  <si>
    <t>By venue/areas</t>
  </si>
  <si>
    <t>150+ (Coach House)</t>
  </si>
  <si>
    <t>Up to ~150 (Orangery)</t>
  </si>
  <si>
    <t>Richly decorated library for intimate civil ceremonies; Orangery for dinner.</t>
  </si>
  <si>
    <t>Castle with library, Orangery &amp; Coach House</t>
  </si>
  <si>
    <t>Gloucestershire (Cotswolds), England</t>
  </si>
  <si>
    <t>https://gleneagles.com/occasions/weddings/</t>
  </si>
  <si>
    <t>Polished 5★ service; strong winter contingency.</t>
  </si>
  <si>
    <t>EDI/GLA</t>
  </si>
  <si>
    <t>232 (hotel)</t>
  </si>
  <si>
    <t>By space; resort buyout uncommon</t>
  </si>
  <si>
    <t>Drinks up to ~360</t>
  </si>
  <si>
    <t>Ballroom up to ~200 (per brochure)</t>
  </si>
  <si>
    <t>Ballroom dining for formal black‑tie; American Bar for cocktails.</t>
  </si>
  <si>
    <t>Iconic country resort</t>
  </si>
  <si>
    <t>Perthshire, Scotland</t>
  </si>
  <si>
    <t>https://dumfries-house.org.uk/hospitality/weddings</t>
  </si>
  <si>
    <t>Check build/availability timeline for ballroom.</t>
  </si>
  <si>
    <t>GLA/PIK</t>
  </si>
  <si>
    <t>Estate accommodation (26 rooms at The Lodge)</t>
  </si>
  <si>
    <t>By arrangement</t>
  </si>
  <si>
    <t>See site</t>
  </si>
  <si>
    <t>See site (ballroom plans ~200)</t>
  </si>
  <si>
    <t>Elegant rooms; new permanent ballroom facility planned/underway.</t>
  </si>
  <si>
    <t>18th‑century Palladian house (The King’s Foundation)</t>
  </si>
  <si>
    <t>Ayrshire, Scotland</t>
  </si>
  <si>
    <t>https://www.drumlanrigcastle.co.uk/private-events/castle-weddings/</t>
  </si>
  <si>
    <t>Indoor ceremony; marquee/rooms for dinner as needed.</t>
  </si>
  <si>
    <t>GLA/EDI</t>
  </si>
  <si>
    <t>Nearby partners</t>
  </si>
  <si>
    <t>Yes (by arrangement)</t>
  </si>
  <si>
    <t>By marquee/rooms</t>
  </si>
  <si>
    <t>Ceremony 80–120 (by room)</t>
  </si>
  <si>
    <t>Front Hall &amp; State Rooms suit formal ceremonies; estate backdrops.</t>
  </si>
  <si>
    <t>Pink sandstone Renaissance castle</t>
  </si>
  <si>
    <t>Dumfries &amp; Galloway, Scotland</t>
  </si>
  <si>
    <t>https://thirlestanecastle.co.uk/celebrate/weddings/</t>
  </si>
  <si>
    <t>Indoor state rooms + vaulted cellar for dancing.</t>
  </si>
  <si>
    <t>EDI (~50–60 min)</t>
  </si>
  <si>
    <t>Castle suites + woodland lodges</t>
  </si>
  <si>
    <t>Yes</t>
  </si>
  <si>
    <t>2 to 1000 (estate scale)</t>
  </si>
  <si>
    <t>From intimate up to 200+ (package dependent)</t>
  </si>
  <si>
    <t>Bespoke, exclusive‑use castle; scalable from intimate to grand.</t>
  </si>
  <si>
    <t>16th‑century castle; dramatic state rooms</t>
  </si>
  <si>
    <t>Scottish Borders, Scotland</t>
  </si>
  <si>
    <t>https://www.kinrosshouse.com/private-events/exclusive-hire/</t>
  </si>
  <si>
    <t>Fireside salons; high‑touch service.</t>
  </si>
  <si>
    <t>EDI (~40–50 min)</t>
  </si>
  <si>
    <t>House &amp; Coach House (estate lodging)</t>
  </si>
  <si>
    <t>By layout</t>
  </si>
  <si>
    <t>Intimate house scale (see site)</t>
  </si>
  <si>
    <t>Regal, immaculate interiors; 100‑acre estate; ~40 mins from Edinburgh.</t>
  </si>
  <si>
    <t>17th‑century neoclassical house on Loch Leven</t>
  </si>
  <si>
    <t>Perth &amp; Kinross, Scotland</t>
  </si>
  <si>
    <t>https://danesfieldhouse.co.uk/weddings</t>
  </si>
  <si>
    <t>Indoor ceremony spaces; river‑valley portraits.</t>
  </si>
  <si>
    <t>LHR (~35–45 min)</t>
  </si>
  <si>
    <t>Hotel (approx. 75)</t>
  </si>
  <si>
    <t>Available</t>
  </si>
  <si>
    <t>To ~150 (evening)</t>
  </si>
  <si>
    <t>Up to ~110 (wedding breakfast)</t>
  </si>
  <si>
    <t>Grand Hall &amp; Versailles Suite for formal dinners; Marlow/Henley adjacency.</t>
  </si>
  <si>
    <t>Neo‑Tudor country house hotel</t>
  </si>
  <si>
    <t>Buckinghamshire, England</t>
  </si>
  <si>
    <t>bookcase dining room</t>
  </si>
  <si>
    <t>https://stgilesdorset.com/weddings/</t>
  </si>
  <si>
    <t>All‑indoor party flow with sound‑proofed club.</t>
  </si>
  <si>
    <t>BOH, SOU</t>
  </si>
  <si>
    <t>Estate cottages / rooms</t>
  </si>
  <si>
    <t>120+; late‑night club</t>
  </si>
  <si>
    <t>Up to 120 (principal rooms)</t>
  </si>
  <si>
    <t>Decadent salons by day; after‑party in award‑winning basement club.</t>
  </si>
  <si>
    <t>Restored stately home with private nightclub</t>
  </si>
  <si>
    <t>Dorset, England</t>
  </si>
  <si>
    <t>https://kirtlingtonpark.co.uk/oxfordshire-wedding-venue/</t>
  </si>
  <si>
    <t>Free corkage noted; transparent pricing.</t>
  </si>
  <si>
    <t>LHR (~60 min)</t>
  </si>
  <si>
    <t>Select rooms + nearby</t>
  </si>
  <si>
    <t>Yes (house)</t>
  </si>
  <si>
    <t>110 indoors; marquee for 200+</t>
  </si>
  <si>
    <t>House max seated 110</t>
  </si>
  <si>
    <t>Elegant salons for cocktail hour; classic English country aesthetic.</t>
  </si>
  <si>
    <t>Grade I Palladian house</t>
  </si>
  <si>
    <t>Oxfordshire, England</t>
  </si>
  <si>
    <t>https://www.holkham.co.uk/wedding-venue-hire/</t>
  </si>
  <si>
    <t>All‑indoor route via state rooms.</t>
  </si>
  <si>
    <t>NWI; STN</t>
  </si>
  <si>
    <t>Estate cottages nearby</t>
  </si>
  <si>
    <t>By house hire</t>
  </si>
  <si>
    <t>By room</t>
  </si>
  <si>
    <t>Up to ~170 (by room)</t>
  </si>
  <si>
    <t>Statue Gallery, Saloon and State Dining Rooms—formal, elegant interiors.</t>
  </si>
  <si>
    <t>Palladian hall &amp; state rooms</t>
  </si>
  <si>
    <t>Norfolk, England</t>
  </si>
  <si>
    <t>https://eastnorcastle.com/castle-wedding-venue/</t>
  </si>
  <si>
    <t>Country‑estate weekend format; roaring fires.</t>
  </si>
  <si>
    <t>BHX, BRS</t>
  </si>
  <si>
    <t>12 in castle + cottages</t>
  </si>
  <si>
    <t>By layout; exclusive use</t>
  </si>
  <si>
    <t>Ceremony up to ~150 (Great Hall)</t>
  </si>
  <si>
    <t>Gothic Drawing Room, Octagon Room, and Great Hall for ceremony/dinner.</t>
  </si>
  <si>
    <t>19th‑century castle</t>
  </si>
  <si>
    <t>Herefordshire (nr. Cotswolds), England</t>
  </si>
  <si>
    <t>https://leeds-castle.com/wedding/</t>
  </si>
  <si>
    <t>All‑indoor option via Great Hall / Fairfax Hall paths.</t>
  </si>
  <si>
    <t>LGW (~60–70 min)</t>
  </si>
  <si>
    <t>Manor House &amp; cottages on estate</t>
  </si>
  <si>
    <t>By venue (Castle / Maiden’s Tower / Barn)</t>
  </si>
  <si>
    <t>Up to 200 (Fairfax Barn)</t>
  </si>
  <si>
    <t>Castle up to ~100; Fairfax Barn larger</t>
  </si>
  <si>
    <t>Story‑book interiors; Great Hall for ceremonies and winter portraits.</t>
  </si>
  <si>
    <t>‘Castle on an island’ with Great Hall / Fairfax Hall</t>
  </si>
  <si>
    <t>Kent, England</t>
  </si>
  <si>
    <t>too castely</t>
  </si>
  <si>
    <t>https://www.hevercastle.co.uk/weddings/castle-weddings/</t>
  </si>
  <si>
    <t>Strong indoor ceremony/dinner sequence.</t>
  </si>
  <si>
    <t>LGW (~40–55 min)</t>
  </si>
  <si>
    <t>Astor Wing bedrooms</t>
  </si>
  <si>
    <t>By space; exclusive options</t>
  </si>
  <si>
    <t>Moat Restaurant 120 | Guthrie Pavilion 220</t>
  </si>
  <si>
    <t>Great Hall 40 | Tudor Suite 60</t>
  </si>
  <si>
    <t>Historic Great Hall; intimate library‑adjacent rooms for cocktails.</t>
  </si>
  <si>
    <t>Medieval castle with Tudor suites</t>
  </si>
  <si>
    <t>love</t>
  </si>
  <si>
    <t>https://www.waddesdonenterprises.co.uk/waddesdon-weddings</t>
  </si>
  <si>
    <t>Indoor salons; estate art/follies for portraits.</t>
  </si>
  <si>
    <t>LHR (~55–70 min)</t>
  </si>
  <si>
    <t>Yes (by venue)</t>
  </si>
  <si>
    <t>Large; see brochure</t>
  </si>
  <si>
    <t>The Manor: up to 1000 incl. grounds (per brochure)</t>
  </si>
  <si>
    <t>Opulent salons and curated estate; serious hospitality lineage.</t>
  </si>
  <si>
    <t>Rothschild French Renaissance‑style château &amp; waterside Dairy</t>
  </si>
  <si>
    <t>https://www.ashridgehouse.org.uk/en/weddings/</t>
  </si>
  <si>
    <t>Plentiful grand indoor spaces for ceremony → cocktails → dinner.</t>
  </si>
  <si>
    <t>LHR (~45–60 min), LTN</t>
  </si>
  <si>
    <t>189</t>
  </si>
  <si>
    <t>Varies</t>
  </si>
  <si>
    <t>Varies by room</t>
  </si>
  <si>
    <t>Sweeping stair, cloisters, heritage rooms; five‑star feel outside the city.</t>
  </si>
  <si>
    <t>Neo‑Gothic stately home</t>
  </si>
  <si>
    <t>https://www.cowdray.co.uk/cowdray-house-weddings/</t>
  </si>
  <si>
    <t>Pools, bowling, billiards for indoor weekend itinerary.</t>
  </si>
  <si>
    <t>LGW (~60–80 min), SOU</t>
  </si>
  <si>
    <t>22 (house) + estate lodging</t>
  </si>
  <si>
    <t>Guide: up to ~150</t>
  </si>
  <si>
    <t>Buck Hall’s hammerbeam drama; weekend house‑party feel with fireside lounges.</t>
  </si>
  <si>
    <t>Exclusive‑use country house on 16,000‑acre estate</t>
  </si>
  <si>
    <t>West Sussex, England</t>
  </si>
  <si>
    <t>https://www.goodwood.com/weddings/venues/goodwood-house/</t>
  </si>
  <si>
    <t>Rich interiors; ideal for black‑tie &amp; Champagne service.</t>
  </si>
  <si>
    <t>LGW (~60–75 min), SOU</t>
  </si>
  <si>
    <t>Goodwood Hotel (91 rooms) on Estate</t>
  </si>
  <si>
    <t>See floor plan/brochure</t>
  </si>
  <si>
    <t>Butlered service; grand art‑lined dining rooms; country‑house glamour.</t>
  </si>
  <si>
    <t>Stately home; State Apartments hung with art</t>
  </si>
  <si>
    <t>https://www.hedsor.com/weddings/weddings-at-hedsor</t>
  </si>
  <si>
    <t>Strong indoor circulation; clubby cocktail vibe.</t>
  </si>
  <si>
    <t>Suites + cottage (The Hive)</t>
  </si>
  <si>
    <t>Up to ~150 (guide)</t>
  </si>
  <si>
    <t>Dramatic domed hall for ceremony, wood‑panelled salons; exclusive use.</t>
  </si>
  <si>
    <t>Italianate/Georgian mansion; domed Centre Hall</t>
  </si>
  <si>
    <t>https://www.clivedenhouse.co.uk/host-your-wedding/exclusive-use/</t>
  </si>
  <si>
    <t>Fully indoor flow; classic Champagne/tulip glassware at 5★ level.</t>
  </si>
  <si>
    <t>LHR (~25–35 min)</t>
  </si>
  <si>
    <t>47 + Spring Cottage</t>
  </si>
  <si>
    <t>Yes (hotel exclusive)</t>
  </si>
  <si>
    <t>Up to 180</t>
  </si>
  <si>
    <t>Up to 130</t>
  </si>
  <si>
    <t>Gilded salons, oak‑panelled rooms, fireside cocktails; formal black‑tie service.</t>
  </si>
  <si>
    <t>Grade I listed country house hotel</t>
  </si>
  <si>
    <t>Berkshire, England</t>
  </si>
  <si>
    <t>Comments</t>
  </si>
  <si>
    <t>Website</t>
  </si>
  <si>
    <t>Winter Notes</t>
  </si>
  <si>
    <t>Nearest Airports</t>
  </si>
  <si>
    <t>Bedrooms Onsite</t>
  </si>
  <si>
    <t>Exclusive Use?</t>
  </si>
  <si>
    <t>Evening/Reception Capacity</t>
  </si>
  <si>
    <t>Seated Dinner Capacity</t>
  </si>
  <si>
    <t>Why it fits RL winter brief</t>
  </si>
  <si>
    <t>Style</t>
  </si>
  <si>
    <t>Region/Country</t>
  </si>
  <si>
    <t>Venue</t>
  </si>
  <si>
    <t>Cliveden House, Berkshire, England</t>
  </si>
  <si>
    <t>Hedsor House, Buckinghamshire, England</t>
  </si>
  <si>
    <t>Goodwood House, West Sussex, England</t>
  </si>
  <si>
    <t>Cowdray House, Midhurst, West Sussex, England</t>
  </si>
  <si>
    <t>Ashridge House, Hertfordshire, England</t>
  </si>
  <si>
    <t>Waddesdon Manor, Buckinghamshire, England</t>
  </si>
  <si>
    <t>Hever Castle, Kent, England</t>
  </si>
  <si>
    <t>Leeds Castle, Kent, England</t>
  </si>
  <si>
    <t>Eastnor Castle, Herefordshire, England</t>
  </si>
  <si>
    <t>Holkham Hall, Norfolk, England</t>
  </si>
  <si>
    <t>Kirtlington Park, Oxfordshire, England</t>
  </si>
  <si>
    <t>St Giles House, Dorset, England</t>
  </si>
  <si>
    <t>Danesfield House, Buckinghamshire, England</t>
  </si>
  <si>
    <t>Kinross House, Perth &amp; Kinross, Scotland</t>
  </si>
  <si>
    <t>Thirlestane Castle, Scottish Borders, Scotland</t>
  </si>
  <si>
    <t>Drumlanrig Castle, Dumfries &amp; Galloway, Scotland</t>
  </si>
  <si>
    <t>Dumfries House, Ayrshire, Scotland</t>
  </si>
  <si>
    <t>Gleneagles, Auchterarder, Perthshire, Scotland</t>
  </si>
  <si>
    <t>Sudeley Castle, Gloucestershire, England</t>
  </si>
  <si>
    <t>Wrotham Park, Hertfordshire, England</t>
  </si>
  <si>
    <t>Knebworth House, Hertfordshire, England</t>
  </si>
  <si>
    <t>By space</t>
  </si>
  <si>
    <t>See site / by space</t>
  </si>
  <si>
    <t>Var, Provence, France</t>
  </si>
  <si>
    <t>https://www.estoublon.com/privatisation/</t>
  </si>
  <si>
    <t>Grand salons &amp; dining rooms for indoor sequence.</t>
  </si>
  <si>
    <t>MRS (~1h15), NCE (~2h10)</t>
  </si>
  <si>
    <t>10 suites (main house)</t>
  </si>
  <si>
    <t>Yes (privatisation)</t>
  </si>
  <si>
    <t>By space; late‑night possible (confirm)</t>
  </si>
  <si>
    <t>House‑party exclusivity; 10 suites; butlered hospitality.</t>
  </si>
  <si>
    <t>Privatisable château on 300‑ha estate (vines &amp; olives)</t>
  </si>
  <si>
    <t>Provence, France</t>
  </si>
  <si>
    <t>Château d’Estoublon, Fontvieille (Alpilles)</t>
  </si>
  <si>
    <t>https://airelles.com/fr/destination/chateau-de-la-messardiere-hotel/mariages-et-evenements-saint-tropez-chateau-de-la-messardiere</t>
  </si>
  <si>
    <t>Confirm winter operating dates (some closures off‑season).</t>
  </si>
  <si>
    <t>TLN (~1h20), NCE (~1h45–2h)</t>
  </si>
  <si>
    <t>Hotel (rooms &amp; suites)</t>
  </si>
  <si>
    <t>By space; buyout possible</t>
  </si>
  <si>
    <t>Lavish salons; five‑star service; grand Riviera vibe.</t>
  </si>
  <si>
    <t>19th‑century château hotel (Palace)</t>
  </si>
  <si>
    <t>Château de la Messardière (Airelles), Saint‑Tropez</t>
  </si>
  <si>
    <t>https://www.antibesjuanlespins.com/a-voir-a-faire/culture-et-patrimoine/le-patrimoine/la-villa-eilenroc-2031716</t>
  </si>
  <si>
    <t>Check seasonal opening &amp; hire policy with city.</t>
  </si>
  <si>
    <t>NCE (~30–40 min)</t>
  </si>
  <si>
    <t>No</t>
  </si>
  <si>
    <t>By municipal hire</t>
  </si>
  <si>
    <t>By permit</t>
  </si>
  <si>
    <t>By permit / by space</t>
  </si>
  <si>
    <t>Belle Époque interiors; ceremony/reception via city permissions.</t>
  </si>
  <si>
    <t>19th‑century villa &amp; gardens (city‑managed)</t>
  </si>
  <si>
    <t>Côte d’Azur, France</t>
  </si>
  <si>
    <t>Villa Eilenroc, Cap d’Antibes (Municipal)</t>
  </si>
  <si>
    <t>https://www.lnaf.org/private-functions/wedding-venue/</t>
  </si>
  <si>
    <t>Indoor historic rooms available.</t>
  </si>
  <si>
    <t>NCE (~35–45 min)</t>
  </si>
  <si>
    <t>No (partner hotels nearby)</t>
  </si>
  <si>
    <t>20–400+ (per site)</t>
  </si>
  <si>
    <t>Gothic halls &amp; galleries; dramatic coastal setting.</t>
  </si>
  <si>
    <t>Seaside medieval château &amp; gardens</t>
  </si>
  <si>
    <t>Château de La Napoule, Mandelieu‑la‑Napoule</t>
  </si>
  <si>
    <t>https://chateaucremat.com/en/mariages/</t>
  </si>
  <si>
    <t>Strong indoor salons for cocktails/dinner.</t>
  </si>
  <si>
    <t>NCE (~20–25 min)</t>
  </si>
  <si>
    <t>No hotel rooms (venues + suites for prep)</t>
  </si>
  <si>
    <t>Neo‑Tuscan salons; Coco‑adjacent lore; panoramic terraces.</t>
  </si>
  <si>
    <t>Historic château &amp; vineyards over Nice</t>
  </si>
  <si>
    <t>Château de Crémat, Nice (Bellet)</t>
  </si>
  <si>
    <t>https://www.montleuze.com/</t>
  </si>
  <si>
    <t>Indoor villas/salons available; confirm seasonal operations.</t>
  </si>
  <si>
    <t>NCE (~25–30 min)</t>
  </si>
  <si>
    <t>Estate villas (by arrangement)</t>
  </si>
  <si>
    <t>Yes (domain hire)</t>
  </si>
  <si>
    <t>Multiple villas and terraces; flexible private spaces.</t>
  </si>
  <si>
    <t>Hilltop private domain with sea views</t>
  </si>
  <si>
    <t>Domaine du Mont Leuze, Villefranche‑sur‑Mer</t>
  </si>
  <si>
    <t>https://www.chateauberne.com/en/mariages-seminaires/mariages-receptions/</t>
  </si>
  <si>
    <t>Strong indoor Plan B (Bacchus Room).</t>
  </si>
  <si>
    <t>NCE (~1h30), TLN (~1h10), MRS (~1h30)</t>
  </si>
  <si>
    <t>Hotel &amp; suites on estate</t>
  </si>
  <si>
    <t>By venue/space</t>
  </si>
  <si>
    <t>By space; dedicated dance room</t>
  </si>
  <si>
    <t>Up to 120 indoors (per 2024 brochure)</t>
  </si>
  <si>
    <t>Refined indoor rooms (Bacchus, Jardin du Jasmin); estate privacy.</t>
  </si>
  <si>
    <t>Wine estate with glass‑roofed Orangery &amp; salons</t>
  </si>
  <si>
    <t>Château de Berne, Flayosc (Provence)</t>
  </si>
  <si>
    <t>https://www.chevredor.com/wedding/</t>
  </si>
  <si>
    <t>Indoor restaurants &amp; salons available.</t>
  </si>
  <si>
    <t>By space; privatization required</t>
  </si>
  <si>
    <t>By space; some music restrictions apply</t>
  </si>
  <si>
    <t>Up to 80 (by restaurant/space; see site)</t>
  </si>
  <si>
    <t>Terrace cocktails over the Med; Michelin‑starred dining; salons for dinner.</t>
  </si>
  <si>
    <t>Medieval clifftop village château (Relais &amp; Châteaux)</t>
  </si>
  <si>
    <t>Château de la Chèvre d’Or, Èze</t>
  </si>
  <si>
    <t>https://www.oetkerhotels.com/hotels/chateau-saint-martin/meetings-events/weddings/</t>
  </si>
  <si>
    <t>State rooms and salons suit winter format.</t>
  </si>
  <si>
    <t>NCE (~30–35 min)</t>
  </si>
  <si>
    <t>Hotel rooms &amp; villas</t>
  </si>
  <si>
    <t>See site (multiple spaces)</t>
  </si>
  <si>
    <t>Private chapel; Matisse salon; classic Riviera interiors.</t>
  </si>
  <si>
    <t>Knights Templar hilltop château resort</t>
  </si>
  <si>
    <t>Château Saint‑Martin &amp; Spa, Vence (Oetker)</t>
  </si>
  <si>
    <t>https://www.oetkerhotels.com/hotels/hotel-du-cap-eden-roc/meetings-events/wedding/</t>
  </si>
  <si>
    <t>Multiple elegant indoor venues.</t>
  </si>
  <si>
    <t>111 accommodations incl. 3 villas</t>
  </si>
  <si>
    <t>See site (dancing permitted all night; per policy)</t>
  </si>
  <si>
    <t>Legendary Riviera glamour; black‑tie; Eden‑Roc Lounge for ceremony.</t>
  </si>
  <si>
    <t>Iconic Palace hotel on sea cliffs</t>
  </si>
  <si>
    <t>Hôtel du Cap‑Eden‑Roc, Cap d’Antibes</t>
  </si>
  <si>
    <t>https://events.villa-ephrussi.com/en/wedding/</t>
  </si>
  <si>
    <t>Grand indoor patio &amp; galleries; gardens for portraits.</t>
  </si>
  <si>
    <t>No (museum venue); luxury hotels nearby</t>
  </si>
  <si>
    <t>Marble arcades, salons, and museum‑level interiors; refined Champagne service.</t>
  </si>
  <si>
    <t>Belle Époque villa &amp; formal gardens</t>
  </si>
  <si>
    <t>Villa Ephrussi de Rothschild, Saint-Jean-Cap-Ferrat</t>
  </si>
  <si>
    <t>Aidan Thibidoux</t>
  </si>
  <si>
    <t>Alex Boddiford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</si>
</sst>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4"/>
      <name val="Aptos Narrow"/>
      <family val="2"/>
    </font>
    <font>
      <b/>
      <sz val="11"/>
      <name val="Aptos Narrow"/>
      <family val="2"/>
    </font>
    <font>
      <sz val="11"/>
      <color rgb="FFFF0000"/>
      <name val="Aptos Narrow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366092"/>
      </patternFill>
    </fill>
    <fill>
      <patternFill patternType="solid">
        <fgColor rgb="FFD9E2F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1" fillId="6" borderId="0" xfId="0" applyFont="1" applyFill="1"/>
    <xf numFmtId="0" fontId="0" fillId="0" borderId="0" xfId="0" applyAlignment="1">
      <alignment horizontal="center" vertical="center"/>
    </xf>
    <xf numFmtId="0" fontId="0" fillId="7" borderId="0" xfId="0" applyFill="1"/>
    <xf numFmtId="0" fontId="3" fillId="0" borderId="0" xfId="0" applyFont="1"/>
    <xf numFmtId="0" fontId="4" fillId="9" borderId="0" xfId="0" applyFont="1" applyFill="1"/>
    <xf numFmtId="0" fontId="2" fillId="8" borderId="0" xfId="0" applyFont="1" applyFill="1" applyAlignment="1">
      <alignment horizontal="left"/>
    </xf>
    <xf numFmtId="0" fontId="5" fillId="0" borderId="0" xfId="0" applyFont="1"/>
    <xf numFmtId="0" fontId="0" fillId="10" borderId="0" xfId="0" applyFill="1"/>
    <xf numFmtId="0" fontId="7" fillId="0" borderId="0" xfId="1" applyFont="1" applyAlignment="1" applyProtection="1"/>
    <xf numFmtId="0" fontId="6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3"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rgb="FFD9E2F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solid">
          <fgColor indexed="64"/>
          <bgColor rgb="FFD9E2F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366092"/>
        </patternFill>
      </fill>
      <alignment horizontal="left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alignment horizontal="center" vertical="center"/>
    </dxf>
    <dxf>
      <alignment horizontal="center" vertical="bottom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17D7E0-3BA0-DB49-A797-30874F039086}" name="Table4" displayName="Table4" ref="A1:H180" totalsRowShown="0" headerRowDxfId="13">
  <autoFilter ref="A1:H180" xr:uid="{00000000-0001-0000-0000-000000000000}"/>
  <sortState xmlns:xlrd2="http://schemas.microsoft.com/office/spreadsheetml/2017/richdata2" ref="A2:H180">
    <sortCondition ref="A1:A180"/>
  </sortState>
  <tableColumns count="8">
    <tableColumn id="1" xr3:uid="{60AB95C6-0D81-2943-B37D-0E995205E560}" name="Name"/>
    <tableColumn id="2" xr3:uid="{01D5941B-64BB-EE47-BDD4-83EAA6A2A59C}" name="Engagement Party"/>
    <tableColumn id="3" xr3:uid="{3576394E-A56C-9344-9941-455FFDE16F7B}" name="Maryland Celebration"/>
    <tableColumn id="4" xr3:uid="{DD351E6B-CB93-EE4A-A168-92E1A6AC903F}" name="Wedding"/>
    <tableColumn id="5" xr3:uid="{E4A351DB-D9F0-2F4A-A27A-4B372DDBB65E}" name="Total Events">
      <calculatedColumnFormula>SUM(B2:D2)</calculatedColumnFormula>
    </tableColumn>
    <tableColumn id="6" xr3:uid="{9A1FCF39-E3B7-F541-9B7C-4E69C5DD06B6}" name="Category"/>
    <tableColumn id="7" xr3:uid="{A7397BAE-B24F-2A43-9F01-FC689A0CB133}" name="Source"/>
    <tableColumn id="8" xr3:uid="{E0DB3C05-89E7-3248-9814-ED7960AD9E6D}" name="Guest ID">
      <calculatedColumnFormula>ROW()-1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3B0753-7097-5147-A183-2152692F4230}" name="Table5" displayName="Table5" ref="A185:D188" totalsRowShown="0" headerRowDxfId="12">
  <autoFilter ref="A185:D188" xr:uid="{103B0753-7097-5147-A183-2152692F4230}"/>
  <tableColumns count="4">
    <tableColumn id="1" xr3:uid="{8E0ECD70-5F20-6A40-8DCF-ADE56A1B3CD4}" name="Event"/>
    <tableColumn id="2" xr3:uid="{880FD39C-FF16-9746-9EAB-B2EBAA9EDF85}" name="Total Guests"/>
    <tableColumn id="3" xr3:uid="{0CBFBD4C-0930-B740-B603-C4299B35BDE8}" name="John B Guests"/>
    <tableColumn id="4" xr3:uid="{03712654-5406-6047-827A-A8DD5C1CEB00}" name="Darling Gues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40709F-9CA6-0045-A0BF-C12D6D73F799}" name="Table6" displayName="Table6" ref="A193:E198" totalsRowShown="0" headerRowDxfId="11">
  <autoFilter ref="A193:E198" xr:uid="{E340709F-9CA6-0045-A0BF-C12D6D73F799}"/>
  <tableColumns count="5">
    <tableColumn id="1" xr3:uid="{13209075-7462-2D47-8AA4-1003B191CBD7}" name="Category"/>
    <tableColumn id="2" xr3:uid="{E6AF0F08-B6AE-DE40-A022-E1B732DE9536}" name="Total Guests"/>
    <tableColumn id="3" xr3:uid="{A371F2A9-5EF6-C14F-B764-C176F0A0339E}" name="Engagement"/>
    <tableColumn id="4" xr3:uid="{EF328217-6E18-404B-B95D-980FEE152DBD}" name="Maryland"/>
    <tableColumn id="5" xr3:uid="{3B097530-4025-564E-B7FB-57D2E3A9FC5E}" name="Wedd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31302A-CC69-C24F-9127-0FCB5E54342D}" name="Table14" displayName="Table14" ref="A1:L22" totalsRowShown="0" headerRowDxfId="4" headerRowBorderDxfId="2" tableBorderDxfId="3">
  <autoFilter ref="A1:L22" xr:uid="{911B161E-505D-C542-9B53-971AF46993FF}"/>
  <tableColumns count="12">
    <tableColumn id="1" xr3:uid="{BA9E5EFE-CCB1-0C40-89CD-543E4E419620}" name="Venue" dataDxfId="1" dataCellStyle="Hyperlink"/>
    <tableColumn id="2" xr3:uid="{956C3AFC-774A-4E48-A534-746158EA9F90}" name="Region/Country"/>
    <tableColumn id="3" xr3:uid="{A814D188-F34C-9443-ABC8-760BB723D6F9}" name="Style"/>
    <tableColumn id="4" xr3:uid="{3A094F6F-2924-0A4E-97D3-1C5725A67E24}" name="Why it fits RL winter brief"/>
    <tableColumn id="5" xr3:uid="{A6099F13-E047-9442-B74D-C0BA78F923D6}" name="Seated Dinner Capacity"/>
    <tableColumn id="6" xr3:uid="{1F0A5E33-C9C3-0142-9D47-7D0B26FD8D29}" name="Evening/Reception Capacity"/>
    <tableColumn id="7" xr3:uid="{ABAE746F-FDE1-8241-B08C-25DE6A300335}" name="Exclusive Use?"/>
    <tableColumn id="8" xr3:uid="{B369AC0E-CE6B-0342-9047-12ECF3418BD4}" name="Bedrooms Onsite"/>
    <tableColumn id="9" xr3:uid="{225ECECF-5256-6940-A052-2602E2F06DF3}" name="Nearest Airports"/>
    <tableColumn id="10" xr3:uid="{5150D65C-850D-B948-AE9E-76F3E4AEA4FA}" name="Winter Notes"/>
    <tableColumn id="11" xr3:uid="{B8108767-E671-A542-A066-187EDAC1E73C}" name="Website" dataDxfId="0" dataCellStyle="Hyperlink"/>
    <tableColumn id="13" xr3:uid="{F94BF93A-38B5-914D-A641-0E91813819F3}" name="Comments" dataDxfId="5" dataCellStyle="Hyperlink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409ADB-ABBB-644D-8F1F-F41E7984BA81}" name="Table19" displayName="Table19" ref="A1:L12" totalsRowShown="0" headerRowDxfId="10" headerRowBorderDxfId="8" tableBorderDxfId="9">
  <autoFilter ref="A1:L12" xr:uid="{15579EA6-BD7E-5F44-8DE4-A1BF4C8EE8A1}"/>
  <tableColumns count="12">
    <tableColumn id="1" xr3:uid="{B866A8AF-CA76-0E4F-93F3-3E9A7F204370}" name="Venue" dataDxfId="7" dataCellStyle="Hyperlink"/>
    <tableColumn id="2" xr3:uid="{053766B6-0C1B-BD4F-80D8-867E24B0050E}" name="Region/Country"/>
    <tableColumn id="3" xr3:uid="{1640E8FE-EE83-C342-BE62-B8E9AE01A950}" name="Style"/>
    <tableColumn id="4" xr3:uid="{BE9A6531-EF14-464E-B354-13E15DCC42D6}" name="Why it fits RL winter brief"/>
    <tableColumn id="5" xr3:uid="{F63BB7AF-222D-2740-8F1A-7C358CB89F0B}" name="Seated Dinner Capacity"/>
    <tableColumn id="6" xr3:uid="{E3AEB440-95D6-F046-A5BC-D84B2419B6DF}" name="Evening/Reception Capacity"/>
    <tableColumn id="7" xr3:uid="{AAE66E15-0ED0-BA4A-895E-254D08F39AF7}" name="Exclusive Use?"/>
    <tableColumn id="8" xr3:uid="{769C729F-6EA7-2144-BB11-4D51220BE85A}" name="Bedrooms Onsite"/>
    <tableColumn id="9" xr3:uid="{0FB101B2-D3AB-0749-8E79-85BCBD213A9D}" name="Nearest Airports"/>
    <tableColumn id="10" xr3:uid="{B9A3CA8E-D6F4-7D43-BAD0-CE125E4C1BD8}" name="Winter Notes"/>
    <tableColumn id="11" xr3:uid="{1CBB3C30-5425-5445-A03D-1759F7CCDB55}" name="Website" dataDxfId="6" dataCellStyle="Hyperlink"/>
    <tableColumn id="12" xr3:uid="{B0C0422C-5AFE-F445-8D75-84FD688E3D6F}" name="Comments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3:E94" totalsRowShown="0" headerRowDxfId="22">
  <autoFilter ref="B3:E94" xr:uid="{00000000-0009-0000-0100-000001000000}"/>
  <tableColumns count="4">
    <tableColumn id="1" xr3:uid="{00000000-0010-0000-0000-000001000000}" name="Name"/>
    <tableColumn id="2" xr3:uid="{00000000-0010-0000-0000-000002000000}" name="Engagement Party" dataDxfId="21"/>
    <tableColumn id="3" xr3:uid="{00000000-0010-0000-0000-000003000000}" name="Maryland Celebration" dataDxfId="20"/>
    <tableColumn id="4" xr3:uid="{00000000-0010-0000-0000-000004000000}" name="Wedding" dataDxfId="1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B3:E93" totalsRowShown="0" headerRowDxfId="18" dataDxfId="17">
  <autoFilter ref="B3:E93" xr:uid="{00000000-0009-0000-0100-000002000000}"/>
  <tableColumns count="4">
    <tableColumn id="1" xr3:uid="{00000000-0010-0000-0100-000001000000}" name="Name"/>
    <tableColumn id="2" xr3:uid="{00000000-0010-0000-0100-000002000000}" name="Engagement Party" dataDxfId="16"/>
    <tableColumn id="3" xr3:uid="{00000000-0010-0000-0100-000003000000}" name="Maryland Celebration" dataDxfId="15"/>
    <tableColumn id="4" xr3:uid="{00000000-0010-0000-0100-000004000000}" name="Wedding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anesfieldhouse.co.uk/weddings" TargetMode="External"/><Relationship Id="rId18" Type="http://schemas.openxmlformats.org/officeDocument/2006/relationships/hyperlink" Target="https://gleneagles.com/occasions/weddings/" TargetMode="External"/><Relationship Id="rId26" Type="http://schemas.openxmlformats.org/officeDocument/2006/relationships/hyperlink" Target="https://www.google.com/maps/search/?api=1&amp;query=Ashridge+House%2C+Hertfordshire%2C+England" TargetMode="External"/><Relationship Id="rId39" Type="http://schemas.openxmlformats.org/officeDocument/2006/relationships/hyperlink" Target="https://www.google.com/maps/search/?api=1&amp;query=Gleneagles%2C+Auchterarder%2C+Perthshire%2C+Scotland" TargetMode="External"/><Relationship Id="rId21" Type="http://schemas.openxmlformats.org/officeDocument/2006/relationships/hyperlink" Target="https://knebworthhouseandbarns.com/weddings-at-knebworth/" TargetMode="External"/><Relationship Id="rId34" Type="http://schemas.openxmlformats.org/officeDocument/2006/relationships/hyperlink" Target="https://www.google.com/maps/search/?api=1&amp;query=Danesfield+House%2C+Buckinghamshire%2C+England" TargetMode="External"/><Relationship Id="rId42" Type="http://schemas.openxmlformats.org/officeDocument/2006/relationships/hyperlink" Target="https://www.google.com/maps/search/?api=1&amp;query=Knebworth+House%2C+Hertfordshire%2C+England" TargetMode="External"/><Relationship Id="rId7" Type="http://schemas.openxmlformats.org/officeDocument/2006/relationships/hyperlink" Target="https://www.hevercastle.co.uk/weddings/castle-weddings/" TargetMode="External"/><Relationship Id="rId2" Type="http://schemas.openxmlformats.org/officeDocument/2006/relationships/hyperlink" Target="https://www.hedsor.com/weddings/weddings-at-hedsor" TargetMode="External"/><Relationship Id="rId16" Type="http://schemas.openxmlformats.org/officeDocument/2006/relationships/hyperlink" Target="https://www.drumlanrigcastle.co.uk/private-events/castle-weddings/" TargetMode="External"/><Relationship Id="rId20" Type="http://schemas.openxmlformats.org/officeDocument/2006/relationships/hyperlink" Target="https://www.wrothampark.com/" TargetMode="External"/><Relationship Id="rId29" Type="http://schemas.openxmlformats.org/officeDocument/2006/relationships/hyperlink" Target="https://www.google.com/maps/search/?api=1&amp;query=Leeds+Castle%2C+Kent%2C+England" TargetMode="External"/><Relationship Id="rId41" Type="http://schemas.openxmlformats.org/officeDocument/2006/relationships/hyperlink" Target="https://www.google.com/maps/search/?api=1&amp;query=Wrotham+Park%2C+Hertfordshire%2C+England" TargetMode="External"/><Relationship Id="rId1" Type="http://schemas.openxmlformats.org/officeDocument/2006/relationships/hyperlink" Target="https://www.clivedenhouse.co.uk/host-your-wedding/exclusive-use/" TargetMode="External"/><Relationship Id="rId6" Type="http://schemas.openxmlformats.org/officeDocument/2006/relationships/hyperlink" Target="https://www.waddesdonenterprises.co.uk/waddesdon-weddings" TargetMode="External"/><Relationship Id="rId11" Type="http://schemas.openxmlformats.org/officeDocument/2006/relationships/hyperlink" Target="https://kirtlingtonpark.co.uk/oxfordshire-wedding-venue/" TargetMode="External"/><Relationship Id="rId24" Type="http://schemas.openxmlformats.org/officeDocument/2006/relationships/hyperlink" Target="https://www.google.com/maps/search/?api=1&amp;query=Goodwood+House%2C+West+Sussex%2C+England" TargetMode="External"/><Relationship Id="rId32" Type="http://schemas.openxmlformats.org/officeDocument/2006/relationships/hyperlink" Target="https://www.google.com/maps/search/?api=1&amp;query=Kirtlington+Park%2C+Oxfordshire%2C+England" TargetMode="External"/><Relationship Id="rId37" Type="http://schemas.openxmlformats.org/officeDocument/2006/relationships/hyperlink" Target="https://www.google.com/maps/search/?api=1&amp;query=Drumlanrig+Castle%2C+Dumfries+%26+Galloway%2C+Scotland" TargetMode="External"/><Relationship Id="rId40" Type="http://schemas.openxmlformats.org/officeDocument/2006/relationships/hyperlink" Target="https://www.google.com/maps/search/?api=1&amp;query=Sudeley+Castle%2C+Gloucestershire%2C+England" TargetMode="External"/><Relationship Id="rId5" Type="http://schemas.openxmlformats.org/officeDocument/2006/relationships/hyperlink" Target="https://www.ashridgehouse.org.uk/en/weddings/" TargetMode="External"/><Relationship Id="rId15" Type="http://schemas.openxmlformats.org/officeDocument/2006/relationships/hyperlink" Target="https://thirlestanecastle.co.uk/celebrate/weddings/" TargetMode="External"/><Relationship Id="rId23" Type="http://schemas.openxmlformats.org/officeDocument/2006/relationships/hyperlink" Target="https://www.google.com/maps/search/?api=1&amp;query=Hedsor+House%2C+Buckinghamshire%2C+England" TargetMode="External"/><Relationship Id="rId28" Type="http://schemas.openxmlformats.org/officeDocument/2006/relationships/hyperlink" Target="https://www.google.com/maps/search/?api=1&amp;query=Hever+Castle%2C+Kent%2C+England" TargetMode="External"/><Relationship Id="rId36" Type="http://schemas.openxmlformats.org/officeDocument/2006/relationships/hyperlink" Target="https://www.google.com/maps/search/?api=1&amp;query=Thirlestane+Castle%2C+Scottish+Borders%2C+Scotland" TargetMode="External"/><Relationship Id="rId10" Type="http://schemas.openxmlformats.org/officeDocument/2006/relationships/hyperlink" Target="https://www.holkham.co.uk/wedding-venue-hire/" TargetMode="External"/><Relationship Id="rId19" Type="http://schemas.openxmlformats.org/officeDocument/2006/relationships/hyperlink" Target="https://sudeleycastle.co.uk/weddings" TargetMode="External"/><Relationship Id="rId31" Type="http://schemas.openxmlformats.org/officeDocument/2006/relationships/hyperlink" Target="https://www.google.com/maps/search/?api=1&amp;query=Holkham+Hall%2C+Norfolk%2C+England" TargetMode="External"/><Relationship Id="rId4" Type="http://schemas.openxmlformats.org/officeDocument/2006/relationships/hyperlink" Target="https://www.cowdray.co.uk/cowdray-house-weddings/" TargetMode="External"/><Relationship Id="rId9" Type="http://schemas.openxmlformats.org/officeDocument/2006/relationships/hyperlink" Target="https://eastnorcastle.com/castle-wedding-venue/" TargetMode="External"/><Relationship Id="rId14" Type="http://schemas.openxmlformats.org/officeDocument/2006/relationships/hyperlink" Target="https://www.kinrosshouse.com/private-events/exclusive-hire/" TargetMode="External"/><Relationship Id="rId22" Type="http://schemas.openxmlformats.org/officeDocument/2006/relationships/hyperlink" Target="https://www.google.com/maps/search/?api=1&amp;query=Cliveden+House%2C+Berkshire%2C+England" TargetMode="External"/><Relationship Id="rId27" Type="http://schemas.openxmlformats.org/officeDocument/2006/relationships/hyperlink" Target="https://www.google.com/maps/search/?api=1&amp;query=Waddesdon+Manor%2C+Buckinghamshire%2C+England" TargetMode="External"/><Relationship Id="rId30" Type="http://schemas.openxmlformats.org/officeDocument/2006/relationships/hyperlink" Target="https://www.google.com/maps/search/?api=1&amp;query=Eastnor+Castle%2C+Herefordshire%2C+England" TargetMode="External"/><Relationship Id="rId35" Type="http://schemas.openxmlformats.org/officeDocument/2006/relationships/hyperlink" Target="https://www.google.com/maps/search/?api=1&amp;query=Kinross+House%2C+Perth+%26+Kinross%2C+Scotland" TargetMode="External"/><Relationship Id="rId43" Type="http://schemas.openxmlformats.org/officeDocument/2006/relationships/table" Target="../tables/table4.xml"/><Relationship Id="rId8" Type="http://schemas.openxmlformats.org/officeDocument/2006/relationships/hyperlink" Target="https://leeds-castle.com/wedding/" TargetMode="External"/><Relationship Id="rId3" Type="http://schemas.openxmlformats.org/officeDocument/2006/relationships/hyperlink" Target="https://www.goodwood.com/weddings/venues/goodwood-house/" TargetMode="External"/><Relationship Id="rId12" Type="http://schemas.openxmlformats.org/officeDocument/2006/relationships/hyperlink" Target="https://stgilesdorset.com/weddings/" TargetMode="External"/><Relationship Id="rId17" Type="http://schemas.openxmlformats.org/officeDocument/2006/relationships/hyperlink" Target="https://dumfries-house.org.uk/hospitality/weddings" TargetMode="External"/><Relationship Id="rId25" Type="http://schemas.openxmlformats.org/officeDocument/2006/relationships/hyperlink" Target="https://www.google.com/maps/search/?api=1&amp;query=Cowdray+House%2C+Midhurst%2C+West+Sussex%2C+England" TargetMode="External"/><Relationship Id="rId33" Type="http://schemas.openxmlformats.org/officeDocument/2006/relationships/hyperlink" Target="https://www.google.com/maps/search/?api=1&amp;query=St+Giles+House%2C+Dorset%2C+England" TargetMode="External"/><Relationship Id="rId38" Type="http://schemas.openxmlformats.org/officeDocument/2006/relationships/hyperlink" Target="https://www.google.com/maps/search/?api=1&amp;query=Dumfries+House%2C+Ayrshire%2C+Scotlan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ateauberne.com/en/mariages-seminaires/mariages-receptions/" TargetMode="External"/><Relationship Id="rId13" Type="http://schemas.openxmlformats.org/officeDocument/2006/relationships/hyperlink" Target="https://www.google.com/maps/search/?api=1&amp;query=Ch%C3%A2teau+de+la+Napoule%2C+Mandelieu-la-Napoule" TargetMode="External"/><Relationship Id="rId18" Type="http://schemas.openxmlformats.org/officeDocument/2006/relationships/hyperlink" Target="https://airelles.com/fr/destination/chateau-de-la-messardiere-hotel/mariages-et-evenements-saint-tropez-chateau-de-la-messardiere" TargetMode="External"/><Relationship Id="rId3" Type="http://schemas.openxmlformats.org/officeDocument/2006/relationships/hyperlink" Target="https://www.google.com/maps/search/?api=1&amp;query=Ch%C3%A2teau+Saint%E2%80%91Martin+%26+Spa%2C+Vence" TargetMode="External"/><Relationship Id="rId21" Type="http://schemas.openxmlformats.org/officeDocument/2006/relationships/hyperlink" Target="https://www.oetkerhotels.com/hotels/hotel-du-cap-eden-roc/meetings-events/wedding/" TargetMode="External"/><Relationship Id="rId7" Type="http://schemas.openxmlformats.org/officeDocument/2006/relationships/hyperlink" Target="https://www.google.com/maps/search/?api=1&amp;query=Ch%C3%A2teau+de+Berne%2C+Flayosc" TargetMode="External"/><Relationship Id="rId12" Type="http://schemas.openxmlformats.org/officeDocument/2006/relationships/hyperlink" Target="https://chateaucremat.com/en/mariages/" TargetMode="External"/><Relationship Id="rId17" Type="http://schemas.openxmlformats.org/officeDocument/2006/relationships/hyperlink" Target="https://www.google.com/maps/search/?api=1&amp;query=Ch%C3%A2teau+de+la+Messardi%C3%A8re%2C+Saint%E2%80%91Tropez" TargetMode="External"/><Relationship Id="rId2" Type="http://schemas.openxmlformats.org/officeDocument/2006/relationships/hyperlink" Target="https://events.villa-ephrussi.com/en/wedding/" TargetMode="External"/><Relationship Id="rId16" Type="http://schemas.openxmlformats.org/officeDocument/2006/relationships/hyperlink" Target="https://www.antibesjuanlespins.com/a-voir-a-faire/culture-et-patrimoine/le-patrimoine/la-villa-eilenroc-2031716" TargetMode="External"/><Relationship Id="rId20" Type="http://schemas.openxmlformats.org/officeDocument/2006/relationships/hyperlink" Target="https://www.estoublon.com/privatisation/" TargetMode="External"/><Relationship Id="rId1" Type="http://schemas.openxmlformats.org/officeDocument/2006/relationships/hyperlink" Target="https://www.google.com/maps/search/?api=1&amp;query=Villa+Ephrussi+de+Rothschild%2C+Saint-Jean-Cap-Ferrat" TargetMode="External"/><Relationship Id="rId6" Type="http://schemas.openxmlformats.org/officeDocument/2006/relationships/hyperlink" Target="https://www.chevredor.com/wedding/" TargetMode="External"/><Relationship Id="rId11" Type="http://schemas.openxmlformats.org/officeDocument/2006/relationships/hyperlink" Target="https://www.google.com/maps/search/?api=1&amp;query=Ch%C3%A2teau+de+Cr%C3%A9mat%2C+Nice" TargetMode="External"/><Relationship Id="rId5" Type="http://schemas.openxmlformats.org/officeDocument/2006/relationships/hyperlink" Target="https://www.google.com/maps/search/?api=1&amp;query=Ch%C3%A2teau+de+la+Ch%C3%A8vre+d%E2%80%99Or%2C+%C3%88ze" TargetMode="External"/><Relationship Id="rId15" Type="http://schemas.openxmlformats.org/officeDocument/2006/relationships/hyperlink" Target="https://www.google.com/maps/search/?api=1&amp;query=Villa+Eilenroc%2C+Cap+d%E2%80%99Antibes" TargetMode="External"/><Relationship Id="rId23" Type="http://schemas.openxmlformats.org/officeDocument/2006/relationships/table" Target="../tables/table5.xml"/><Relationship Id="rId10" Type="http://schemas.openxmlformats.org/officeDocument/2006/relationships/hyperlink" Target="https://www.montleuze.com/" TargetMode="External"/><Relationship Id="rId19" Type="http://schemas.openxmlformats.org/officeDocument/2006/relationships/hyperlink" Target="https://www.google.com/maps/search/?api=1&amp;query=Ch%C3%A2teau+d%E2%80%99Estoublon%2C+Fontvieille" TargetMode="External"/><Relationship Id="rId4" Type="http://schemas.openxmlformats.org/officeDocument/2006/relationships/hyperlink" Target="https://www.oetkerhotels.com/hotels/chateau-saint-martin/meetings-events/weddings/" TargetMode="External"/><Relationship Id="rId9" Type="http://schemas.openxmlformats.org/officeDocument/2006/relationships/hyperlink" Target="https://www.google.com/maps/search/?api=1&amp;query=Domaine+du+Mont+Leuze%2C+Villefranche%E2%80%91sur%E2%80%91Mer" TargetMode="External"/><Relationship Id="rId14" Type="http://schemas.openxmlformats.org/officeDocument/2006/relationships/hyperlink" Target="https://www.lnaf.org/private-functions/wedding-venue/" TargetMode="External"/><Relationship Id="rId22" Type="http://schemas.openxmlformats.org/officeDocument/2006/relationships/hyperlink" Target="https://www.google.com/maps/search/?api=1&amp;query=Hotel+du+Cap%E2%80%91Eden%E2%80%91Roc%2C+Antib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8"/>
  <sheetViews>
    <sheetView zoomScale="120" zoomScaleNormal="120" workbookViewId="0">
      <selection activeCell="A8" sqref="A8"/>
    </sheetView>
  </sheetViews>
  <sheetFormatPr baseColWidth="10" defaultColWidth="8.83203125" defaultRowHeight="15" x14ac:dyDescent="0.2"/>
  <cols>
    <col min="1" max="1" width="27.5" bestFit="1" customWidth="1"/>
    <col min="2" max="2" width="18.1640625" bestFit="1" customWidth="1"/>
    <col min="3" max="3" width="21.1640625" bestFit="1" customWidth="1"/>
    <col min="4" max="4" width="13.83203125" customWidth="1"/>
    <col min="5" max="5" width="13.1640625" bestFit="1" customWidth="1"/>
    <col min="6" max="6" width="10.5" bestFit="1" customWidth="1"/>
    <col min="7" max="7" width="8.83203125" bestFit="1" customWidth="1"/>
    <col min="8" max="8" width="10.1640625" bestFit="1" customWidth="1"/>
  </cols>
  <sheetData>
    <row r="1" spans="1:8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x14ac:dyDescent="0.2">
      <c r="A2" t="s">
        <v>531</v>
      </c>
      <c r="B2">
        <v>1</v>
      </c>
      <c r="C2">
        <v>0</v>
      </c>
      <c r="D2">
        <v>1</v>
      </c>
      <c r="E2">
        <f>SUM(B2:D2)</f>
        <v>2</v>
      </c>
      <c r="F2" t="s">
        <v>12</v>
      </c>
      <c r="G2" t="s">
        <v>10</v>
      </c>
      <c r="H2">
        <f>ROW()-1</f>
        <v>1</v>
      </c>
    </row>
    <row r="3" spans="1:8" x14ac:dyDescent="0.2">
      <c r="A3" t="s">
        <v>532</v>
      </c>
      <c r="B3">
        <v>1</v>
      </c>
      <c r="C3">
        <v>1</v>
      </c>
      <c r="D3">
        <v>1</v>
      </c>
      <c r="E3">
        <f>SUM(B3:D3)</f>
        <v>3</v>
      </c>
      <c r="F3" t="s">
        <v>18</v>
      </c>
      <c r="G3" t="s">
        <v>10</v>
      </c>
      <c r="H3">
        <f>ROW()-1</f>
        <v>2</v>
      </c>
    </row>
    <row r="4" spans="1:8" x14ac:dyDescent="0.2">
      <c r="A4" t="s">
        <v>172</v>
      </c>
      <c r="B4">
        <v>1</v>
      </c>
      <c r="C4">
        <v>0</v>
      </c>
      <c r="D4">
        <v>0</v>
      </c>
      <c r="E4">
        <f>SUM(B4:D4)</f>
        <v>1</v>
      </c>
      <c r="F4" t="s">
        <v>12</v>
      </c>
      <c r="G4" t="s">
        <v>104</v>
      </c>
      <c r="H4">
        <f>ROW()-1</f>
        <v>3</v>
      </c>
    </row>
    <row r="5" spans="1:8" x14ac:dyDescent="0.2">
      <c r="A5" t="s">
        <v>126</v>
      </c>
      <c r="B5">
        <v>1</v>
      </c>
      <c r="C5">
        <v>0</v>
      </c>
      <c r="D5">
        <v>1</v>
      </c>
      <c r="E5">
        <f>SUM(B5:D5)</f>
        <v>2</v>
      </c>
      <c r="F5" t="s">
        <v>12</v>
      </c>
      <c r="G5" t="s">
        <v>104</v>
      </c>
      <c r="H5">
        <f>ROW()-1</f>
        <v>4</v>
      </c>
    </row>
    <row r="6" spans="1:8" x14ac:dyDescent="0.2">
      <c r="A6" t="s">
        <v>208</v>
      </c>
      <c r="B6">
        <v>1</v>
      </c>
      <c r="C6">
        <v>1</v>
      </c>
      <c r="D6">
        <v>1</v>
      </c>
      <c r="E6">
        <f>SUM(B6:D6)</f>
        <v>3</v>
      </c>
      <c r="F6" t="s">
        <v>18</v>
      </c>
      <c r="G6" t="s">
        <v>104</v>
      </c>
      <c r="H6">
        <f>ROW()-1</f>
        <v>5</v>
      </c>
    </row>
    <row r="7" spans="1:8" x14ac:dyDescent="0.2">
      <c r="A7" t="s">
        <v>154</v>
      </c>
      <c r="B7">
        <v>0</v>
      </c>
      <c r="C7">
        <v>0</v>
      </c>
      <c r="D7">
        <v>1</v>
      </c>
      <c r="E7">
        <f>SUM(B7:D7)</f>
        <v>1</v>
      </c>
      <c r="F7" t="s">
        <v>12</v>
      </c>
      <c r="G7" t="s">
        <v>104</v>
      </c>
      <c r="H7">
        <f>ROW()-1</f>
        <v>6</v>
      </c>
    </row>
    <row r="8" spans="1:8" x14ac:dyDescent="0.2">
      <c r="A8" t="s">
        <v>17</v>
      </c>
      <c r="B8">
        <v>1</v>
      </c>
      <c r="C8">
        <v>1</v>
      </c>
      <c r="D8">
        <v>1</v>
      </c>
      <c r="E8">
        <f>SUM(B8:D8)</f>
        <v>3</v>
      </c>
      <c r="F8" t="s">
        <v>18</v>
      </c>
      <c r="G8" t="s">
        <v>10</v>
      </c>
      <c r="H8">
        <f>ROW()-1</f>
        <v>7</v>
      </c>
    </row>
    <row r="9" spans="1:8" x14ac:dyDescent="0.2">
      <c r="A9" t="s">
        <v>177</v>
      </c>
      <c r="B9">
        <v>1</v>
      </c>
      <c r="C9">
        <v>0</v>
      </c>
      <c r="D9">
        <v>1</v>
      </c>
      <c r="E9">
        <f>SUM(B9:D9)</f>
        <v>2</v>
      </c>
      <c r="F9" t="s">
        <v>12</v>
      </c>
      <c r="G9" t="s">
        <v>104</v>
      </c>
      <c r="H9">
        <f>ROW()-1</f>
        <v>8</v>
      </c>
    </row>
    <row r="10" spans="1:8" x14ac:dyDescent="0.2">
      <c r="A10" t="s">
        <v>45</v>
      </c>
      <c r="B10">
        <v>0</v>
      </c>
      <c r="C10">
        <v>1</v>
      </c>
      <c r="D10">
        <v>1</v>
      </c>
      <c r="E10">
        <f>SUM(B10:D10)</f>
        <v>2</v>
      </c>
      <c r="F10" t="s">
        <v>18</v>
      </c>
      <c r="G10" t="s">
        <v>10</v>
      </c>
      <c r="H10">
        <f>ROW()-1</f>
        <v>9</v>
      </c>
    </row>
    <row r="11" spans="1:8" x14ac:dyDescent="0.2">
      <c r="A11" t="s">
        <v>36</v>
      </c>
      <c r="B11">
        <v>0</v>
      </c>
      <c r="C11">
        <v>1</v>
      </c>
      <c r="D11">
        <v>1</v>
      </c>
      <c r="E11">
        <f>SUM(B11:D11)</f>
        <v>2</v>
      </c>
      <c r="F11" t="s">
        <v>18</v>
      </c>
      <c r="G11" t="s">
        <v>10</v>
      </c>
      <c r="H11">
        <f>ROW()-1</f>
        <v>10</v>
      </c>
    </row>
    <row r="12" spans="1:8" x14ac:dyDescent="0.2">
      <c r="A12" t="s">
        <v>26</v>
      </c>
      <c r="B12">
        <v>0</v>
      </c>
      <c r="C12">
        <v>1</v>
      </c>
      <c r="D12" s="13">
        <v>0</v>
      </c>
      <c r="E12">
        <f>SUM(B12:D12)</f>
        <v>1</v>
      </c>
      <c r="F12" t="s">
        <v>18</v>
      </c>
      <c r="G12" t="s">
        <v>10</v>
      </c>
      <c r="H12">
        <f>ROW()-1</f>
        <v>11</v>
      </c>
    </row>
    <row r="13" spans="1:8" x14ac:dyDescent="0.2">
      <c r="A13" t="s">
        <v>42</v>
      </c>
      <c r="B13">
        <v>0</v>
      </c>
      <c r="C13">
        <v>1</v>
      </c>
      <c r="D13">
        <v>1</v>
      </c>
      <c r="E13">
        <f>SUM(B13:D13)</f>
        <v>2</v>
      </c>
      <c r="F13" t="s">
        <v>18</v>
      </c>
      <c r="G13" t="s">
        <v>10</v>
      </c>
      <c r="H13">
        <f>ROW()-1</f>
        <v>12</v>
      </c>
    </row>
    <row r="14" spans="1:8" x14ac:dyDescent="0.2">
      <c r="A14" t="s">
        <v>32</v>
      </c>
      <c r="B14">
        <v>1</v>
      </c>
      <c r="C14">
        <v>1</v>
      </c>
      <c r="D14">
        <v>1</v>
      </c>
      <c r="E14">
        <f>SUM(B14:D14)</f>
        <v>3</v>
      </c>
      <c r="F14" t="s">
        <v>18</v>
      </c>
      <c r="G14" t="s">
        <v>10</v>
      </c>
      <c r="H14">
        <f>ROW()-1</f>
        <v>13</v>
      </c>
    </row>
    <row r="15" spans="1:8" x14ac:dyDescent="0.2">
      <c r="A15" t="s">
        <v>131</v>
      </c>
      <c r="B15">
        <v>1</v>
      </c>
      <c r="C15">
        <v>0</v>
      </c>
      <c r="D15">
        <v>1</v>
      </c>
      <c r="E15">
        <f>SUM(B15:D15)</f>
        <v>2</v>
      </c>
      <c r="F15" t="s">
        <v>12</v>
      </c>
      <c r="G15" t="s">
        <v>104</v>
      </c>
      <c r="H15">
        <f>ROW()-1</f>
        <v>14</v>
      </c>
    </row>
    <row r="16" spans="1:8" x14ac:dyDescent="0.2">
      <c r="A16" t="s">
        <v>62</v>
      </c>
      <c r="B16">
        <v>1</v>
      </c>
      <c r="C16">
        <v>1</v>
      </c>
      <c r="D16">
        <v>1</v>
      </c>
      <c r="E16">
        <f>SUM(B16:D16)</f>
        <v>3</v>
      </c>
      <c r="F16" t="s">
        <v>12</v>
      </c>
      <c r="G16" t="s">
        <v>10</v>
      </c>
      <c r="H16">
        <f>ROW()-1</f>
        <v>15</v>
      </c>
    </row>
    <row r="17" spans="1:8" x14ac:dyDescent="0.2">
      <c r="A17" t="s">
        <v>158</v>
      </c>
      <c r="B17">
        <v>1</v>
      </c>
      <c r="C17">
        <v>0</v>
      </c>
      <c r="D17">
        <v>1</v>
      </c>
      <c r="E17">
        <f>SUM(B17:D17)</f>
        <v>2</v>
      </c>
      <c r="F17" t="s">
        <v>12</v>
      </c>
      <c r="G17" t="s">
        <v>104</v>
      </c>
      <c r="H17">
        <f>ROW()-1</f>
        <v>16</v>
      </c>
    </row>
    <row r="18" spans="1:8" x14ac:dyDescent="0.2">
      <c r="A18" t="s">
        <v>67</v>
      </c>
      <c r="B18">
        <v>1</v>
      </c>
      <c r="C18">
        <v>0</v>
      </c>
      <c r="D18">
        <v>1</v>
      </c>
      <c r="E18">
        <f>SUM(B18:D18)</f>
        <v>2</v>
      </c>
      <c r="F18" t="s">
        <v>12</v>
      </c>
      <c r="G18" t="s">
        <v>10</v>
      </c>
      <c r="H18">
        <f>ROW()-1</f>
        <v>17</v>
      </c>
    </row>
    <row r="19" spans="1:8" x14ac:dyDescent="0.2">
      <c r="A19" t="s">
        <v>46</v>
      </c>
      <c r="B19">
        <v>0</v>
      </c>
      <c r="C19">
        <v>1</v>
      </c>
      <c r="D19">
        <v>1</v>
      </c>
      <c r="E19">
        <f>SUM(B19:D19)</f>
        <v>2</v>
      </c>
      <c r="F19" t="s">
        <v>18</v>
      </c>
      <c r="G19" t="s">
        <v>10</v>
      </c>
      <c r="H19">
        <f>ROW()-1</f>
        <v>18</v>
      </c>
    </row>
    <row r="20" spans="1:8" x14ac:dyDescent="0.2">
      <c r="A20" t="s">
        <v>53</v>
      </c>
      <c r="B20">
        <v>0</v>
      </c>
      <c r="C20">
        <v>1</v>
      </c>
      <c r="D20">
        <v>0</v>
      </c>
      <c r="E20">
        <f>SUM(B20:D20)</f>
        <v>1</v>
      </c>
      <c r="F20" t="s">
        <v>12</v>
      </c>
      <c r="G20" t="s">
        <v>10</v>
      </c>
      <c r="H20">
        <f>ROW()-1</f>
        <v>19</v>
      </c>
    </row>
    <row r="21" spans="1:8" x14ac:dyDescent="0.2">
      <c r="A21" t="s">
        <v>61</v>
      </c>
      <c r="B21">
        <v>1</v>
      </c>
      <c r="C21">
        <v>1</v>
      </c>
      <c r="D21">
        <v>1</v>
      </c>
      <c r="E21">
        <f>SUM(B21:D21)</f>
        <v>3</v>
      </c>
      <c r="F21" t="s">
        <v>12</v>
      </c>
      <c r="G21" t="s">
        <v>10</v>
      </c>
      <c r="H21">
        <f>ROW()-1</f>
        <v>20</v>
      </c>
    </row>
    <row r="22" spans="1:8" x14ac:dyDescent="0.2">
      <c r="A22" t="s">
        <v>43</v>
      </c>
      <c r="B22">
        <v>0</v>
      </c>
      <c r="C22">
        <v>1</v>
      </c>
      <c r="D22" s="13">
        <v>1</v>
      </c>
      <c r="E22">
        <f>SUM(B22:D22)</f>
        <v>2</v>
      </c>
      <c r="F22" t="s">
        <v>18</v>
      </c>
      <c r="G22" t="s">
        <v>10</v>
      </c>
      <c r="H22">
        <f>ROW()-1</f>
        <v>21</v>
      </c>
    </row>
    <row r="23" spans="1:8" x14ac:dyDescent="0.2">
      <c r="A23" t="s">
        <v>87</v>
      </c>
      <c r="B23">
        <v>1</v>
      </c>
      <c r="C23">
        <v>0</v>
      </c>
      <c r="D23">
        <v>1</v>
      </c>
      <c r="E23">
        <f>SUM(B23:D23)</f>
        <v>2</v>
      </c>
      <c r="F23" t="s">
        <v>12</v>
      </c>
      <c r="G23" t="s">
        <v>10</v>
      </c>
      <c r="H23">
        <f>ROW()-1</f>
        <v>22</v>
      </c>
    </row>
    <row r="24" spans="1:8" x14ac:dyDescent="0.2">
      <c r="A24" t="s">
        <v>88</v>
      </c>
      <c r="B24">
        <v>0</v>
      </c>
      <c r="C24">
        <v>1</v>
      </c>
      <c r="D24">
        <v>0</v>
      </c>
      <c r="E24">
        <f>SUM(B24:D24)</f>
        <v>1</v>
      </c>
      <c r="F24" t="s">
        <v>14</v>
      </c>
      <c r="G24" t="s">
        <v>10</v>
      </c>
      <c r="H24">
        <f>ROW()-1</f>
        <v>23</v>
      </c>
    </row>
    <row r="25" spans="1:8" x14ac:dyDescent="0.2">
      <c r="A25" t="s">
        <v>57</v>
      </c>
      <c r="B25">
        <v>1</v>
      </c>
      <c r="C25">
        <v>1</v>
      </c>
      <c r="D25">
        <v>1</v>
      </c>
      <c r="E25">
        <f>SUM(B25:D25)</f>
        <v>3</v>
      </c>
      <c r="F25" t="s">
        <v>12</v>
      </c>
      <c r="G25" t="s">
        <v>10</v>
      </c>
      <c r="H25">
        <f>ROW()-1</f>
        <v>24</v>
      </c>
    </row>
    <row r="26" spans="1:8" x14ac:dyDescent="0.2">
      <c r="A26" t="s">
        <v>132</v>
      </c>
      <c r="B26">
        <v>1</v>
      </c>
      <c r="C26">
        <v>0</v>
      </c>
      <c r="D26">
        <v>1</v>
      </c>
      <c r="E26">
        <f>SUM(B26:D26)</f>
        <v>2</v>
      </c>
      <c r="F26" t="s">
        <v>12</v>
      </c>
      <c r="G26" t="s">
        <v>104</v>
      </c>
      <c r="H26">
        <f>ROW()-1</f>
        <v>25</v>
      </c>
    </row>
    <row r="27" spans="1:8" x14ac:dyDescent="0.2">
      <c r="A27" t="s">
        <v>65</v>
      </c>
      <c r="B27">
        <v>1</v>
      </c>
      <c r="C27">
        <v>1</v>
      </c>
      <c r="D27">
        <v>1</v>
      </c>
      <c r="E27">
        <f>SUM(B27:D27)</f>
        <v>3</v>
      </c>
      <c r="F27" t="s">
        <v>12</v>
      </c>
      <c r="G27" t="s">
        <v>10</v>
      </c>
      <c r="H27">
        <f>ROW()-1</f>
        <v>26</v>
      </c>
    </row>
    <row r="28" spans="1:8" x14ac:dyDescent="0.2">
      <c r="A28" t="s">
        <v>92</v>
      </c>
      <c r="B28">
        <v>0</v>
      </c>
      <c r="C28">
        <v>1</v>
      </c>
      <c r="D28" s="13">
        <v>1</v>
      </c>
      <c r="E28">
        <f>SUM(B28:D28)</f>
        <v>2</v>
      </c>
      <c r="F28" t="s">
        <v>14</v>
      </c>
      <c r="G28" t="s">
        <v>10</v>
      </c>
      <c r="H28">
        <f>ROW()-1</f>
        <v>27</v>
      </c>
    </row>
    <row r="29" spans="1:8" x14ac:dyDescent="0.2">
      <c r="A29" t="s">
        <v>137</v>
      </c>
      <c r="B29">
        <v>1</v>
      </c>
      <c r="C29">
        <v>0</v>
      </c>
      <c r="D29">
        <v>1</v>
      </c>
      <c r="E29">
        <f>SUM(B29:D29)</f>
        <v>2</v>
      </c>
      <c r="F29" t="s">
        <v>12</v>
      </c>
      <c r="G29" t="s">
        <v>104</v>
      </c>
      <c r="H29">
        <f>ROW()-1</f>
        <v>28</v>
      </c>
    </row>
    <row r="30" spans="1:8" x14ac:dyDescent="0.2">
      <c r="A30" t="s">
        <v>96</v>
      </c>
      <c r="B30">
        <v>0</v>
      </c>
      <c r="C30">
        <v>1</v>
      </c>
      <c r="D30">
        <v>0</v>
      </c>
      <c r="E30">
        <f>SUM(B30:D30)</f>
        <v>1</v>
      </c>
      <c r="F30" t="s">
        <v>12</v>
      </c>
      <c r="G30" t="s">
        <v>10</v>
      </c>
      <c r="H30">
        <f>ROW()-1</f>
        <v>29</v>
      </c>
    </row>
    <row r="31" spans="1:8" x14ac:dyDescent="0.2">
      <c r="A31" t="s">
        <v>189</v>
      </c>
      <c r="B31">
        <v>1</v>
      </c>
      <c r="C31">
        <v>0</v>
      </c>
      <c r="D31">
        <v>0</v>
      </c>
      <c r="E31">
        <f>SUM(B31:D31)</f>
        <v>1</v>
      </c>
      <c r="F31" t="s">
        <v>12</v>
      </c>
      <c r="G31" t="s">
        <v>104</v>
      </c>
      <c r="H31">
        <f>ROW()-1</f>
        <v>30</v>
      </c>
    </row>
    <row r="32" spans="1:8" x14ac:dyDescent="0.2">
      <c r="A32" t="s">
        <v>188</v>
      </c>
      <c r="B32">
        <v>0</v>
      </c>
      <c r="C32">
        <v>0</v>
      </c>
      <c r="D32">
        <v>1</v>
      </c>
      <c r="E32">
        <f>SUM(B32:D32)</f>
        <v>1</v>
      </c>
      <c r="F32" t="s">
        <v>12</v>
      </c>
      <c r="G32" t="s">
        <v>104</v>
      </c>
      <c r="H32">
        <f>ROW()-1</f>
        <v>31</v>
      </c>
    </row>
    <row r="33" spans="1:8" x14ac:dyDescent="0.2">
      <c r="A33" t="s">
        <v>110</v>
      </c>
      <c r="B33">
        <v>1</v>
      </c>
      <c r="C33">
        <v>0</v>
      </c>
      <c r="D33">
        <v>1</v>
      </c>
      <c r="E33">
        <f>SUM(B33:D33)</f>
        <v>2</v>
      </c>
      <c r="F33" t="s">
        <v>18</v>
      </c>
      <c r="G33" t="s">
        <v>104</v>
      </c>
      <c r="H33">
        <f>ROW()-1</f>
        <v>32</v>
      </c>
    </row>
    <row r="34" spans="1:8" x14ac:dyDescent="0.2">
      <c r="A34" t="s">
        <v>176</v>
      </c>
      <c r="B34">
        <v>1</v>
      </c>
      <c r="C34">
        <v>0</v>
      </c>
      <c r="D34">
        <v>1</v>
      </c>
      <c r="E34">
        <f>SUM(B34:D34)</f>
        <v>2</v>
      </c>
      <c r="F34" t="s">
        <v>12</v>
      </c>
      <c r="G34" t="s">
        <v>104</v>
      </c>
      <c r="H34">
        <f>ROW()-1</f>
        <v>33</v>
      </c>
    </row>
    <row r="35" spans="1:8" x14ac:dyDescent="0.2">
      <c r="A35" t="s">
        <v>119</v>
      </c>
      <c r="B35">
        <v>1</v>
      </c>
      <c r="C35">
        <v>0</v>
      </c>
      <c r="D35">
        <v>1</v>
      </c>
      <c r="E35">
        <f>SUM(B35:D35)</f>
        <v>2</v>
      </c>
      <c r="F35" t="s">
        <v>18</v>
      </c>
      <c r="G35" t="s">
        <v>104</v>
      </c>
      <c r="H35">
        <f>ROW()-1</f>
        <v>34</v>
      </c>
    </row>
    <row r="36" spans="1:8" x14ac:dyDescent="0.2">
      <c r="A36" t="s">
        <v>69</v>
      </c>
      <c r="B36">
        <v>1</v>
      </c>
      <c r="C36">
        <v>0</v>
      </c>
      <c r="D36">
        <v>1</v>
      </c>
      <c r="E36">
        <f>SUM(B36:D36)</f>
        <v>2</v>
      </c>
      <c r="F36" t="s">
        <v>12</v>
      </c>
      <c r="G36" t="s">
        <v>10</v>
      </c>
      <c r="H36">
        <f>ROW()-1</f>
        <v>35</v>
      </c>
    </row>
    <row r="37" spans="1:8" x14ac:dyDescent="0.2">
      <c r="A37" t="s">
        <v>44</v>
      </c>
      <c r="B37">
        <v>0</v>
      </c>
      <c r="C37">
        <v>1</v>
      </c>
      <c r="D37" s="13">
        <v>1</v>
      </c>
      <c r="E37">
        <f>SUM(B37:D37)</f>
        <v>2</v>
      </c>
      <c r="F37" t="s">
        <v>18</v>
      </c>
      <c r="G37" t="s">
        <v>10</v>
      </c>
      <c r="H37">
        <f>ROW()-1</f>
        <v>36</v>
      </c>
    </row>
    <row r="38" spans="1:8" x14ac:dyDescent="0.2">
      <c r="A38" t="s">
        <v>44</v>
      </c>
      <c r="B38">
        <v>1</v>
      </c>
      <c r="C38">
        <v>0</v>
      </c>
      <c r="D38">
        <v>1</v>
      </c>
      <c r="E38">
        <f>SUM(B38:D38)</f>
        <v>2</v>
      </c>
      <c r="F38" t="s">
        <v>12</v>
      </c>
      <c r="G38" t="s">
        <v>104</v>
      </c>
      <c r="H38">
        <f>ROW()-1</f>
        <v>37</v>
      </c>
    </row>
    <row r="39" spans="1:8" x14ac:dyDescent="0.2">
      <c r="A39" t="s">
        <v>185</v>
      </c>
      <c r="B39">
        <v>1</v>
      </c>
      <c r="C39">
        <v>0</v>
      </c>
      <c r="D39" s="13">
        <v>1</v>
      </c>
      <c r="E39">
        <f>SUM(B39:D39)</f>
        <v>2</v>
      </c>
      <c r="F39" t="s">
        <v>12</v>
      </c>
      <c r="G39" t="s">
        <v>104</v>
      </c>
      <c r="H39">
        <f>ROW()-1</f>
        <v>38</v>
      </c>
    </row>
    <row r="40" spans="1:8" x14ac:dyDescent="0.2">
      <c r="A40" t="s">
        <v>48</v>
      </c>
      <c r="B40">
        <v>1</v>
      </c>
      <c r="C40">
        <v>1</v>
      </c>
      <c r="D40">
        <v>1</v>
      </c>
      <c r="E40">
        <f>SUM(B40:D40)</f>
        <v>3</v>
      </c>
      <c r="F40" t="s">
        <v>18</v>
      </c>
      <c r="G40" t="s">
        <v>10</v>
      </c>
      <c r="H40">
        <f>ROW()-1</f>
        <v>39</v>
      </c>
    </row>
    <row r="41" spans="1:8" x14ac:dyDescent="0.2">
      <c r="A41" t="s">
        <v>95</v>
      </c>
      <c r="B41">
        <v>0</v>
      </c>
      <c r="C41">
        <v>1</v>
      </c>
      <c r="D41">
        <v>1</v>
      </c>
      <c r="E41">
        <f>SUM(B41:D41)</f>
        <v>2</v>
      </c>
      <c r="F41" t="s">
        <v>12</v>
      </c>
      <c r="G41" t="s">
        <v>10</v>
      </c>
      <c r="H41">
        <f>ROW()-1</f>
        <v>40</v>
      </c>
    </row>
    <row r="42" spans="1:8" x14ac:dyDescent="0.2">
      <c r="A42" t="s">
        <v>139</v>
      </c>
      <c r="B42">
        <v>1</v>
      </c>
      <c r="C42">
        <v>0</v>
      </c>
      <c r="D42">
        <v>1</v>
      </c>
      <c r="E42">
        <f>SUM(B42:D42)</f>
        <v>2</v>
      </c>
      <c r="F42" t="s">
        <v>12</v>
      </c>
      <c r="G42" t="s">
        <v>104</v>
      </c>
      <c r="H42">
        <f>ROW()-1</f>
        <v>41</v>
      </c>
    </row>
    <row r="43" spans="1:8" x14ac:dyDescent="0.2">
      <c r="A43" t="s">
        <v>127</v>
      </c>
      <c r="B43">
        <v>1</v>
      </c>
      <c r="C43">
        <v>0</v>
      </c>
      <c r="D43">
        <v>1</v>
      </c>
      <c r="E43">
        <f>SUM(B43:D43)</f>
        <v>2</v>
      </c>
      <c r="F43" t="s">
        <v>12</v>
      </c>
      <c r="G43" t="s">
        <v>104</v>
      </c>
      <c r="H43">
        <f>ROW()-1</f>
        <v>42</v>
      </c>
    </row>
    <row r="44" spans="1:8" x14ac:dyDescent="0.2">
      <c r="A44" t="s">
        <v>59</v>
      </c>
      <c r="B44">
        <v>1</v>
      </c>
      <c r="C44">
        <v>1</v>
      </c>
      <c r="D44">
        <v>1</v>
      </c>
      <c r="E44">
        <f>SUM(B44:D44)</f>
        <v>3</v>
      </c>
      <c r="F44" t="s">
        <v>12</v>
      </c>
      <c r="G44" t="s">
        <v>10</v>
      </c>
      <c r="H44">
        <f>ROW()-1</f>
        <v>43</v>
      </c>
    </row>
    <row r="45" spans="1:8" x14ac:dyDescent="0.2">
      <c r="A45" t="s">
        <v>22</v>
      </c>
      <c r="B45">
        <v>1</v>
      </c>
      <c r="C45">
        <v>1</v>
      </c>
      <c r="D45">
        <v>1</v>
      </c>
      <c r="E45">
        <f>SUM(B45:D45)</f>
        <v>3</v>
      </c>
      <c r="F45" t="s">
        <v>18</v>
      </c>
      <c r="G45" t="s">
        <v>10</v>
      </c>
      <c r="H45">
        <f>ROW()-1</f>
        <v>44</v>
      </c>
    </row>
    <row r="46" spans="1:8" x14ac:dyDescent="0.2">
      <c r="A46" t="s">
        <v>90</v>
      </c>
      <c r="B46">
        <v>0</v>
      </c>
      <c r="C46">
        <v>1</v>
      </c>
      <c r="D46" s="13">
        <v>1</v>
      </c>
      <c r="E46">
        <f>SUM(B46:D46)</f>
        <v>2</v>
      </c>
      <c r="F46" t="s">
        <v>14</v>
      </c>
      <c r="G46" t="s">
        <v>10</v>
      </c>
      <c r="H46">
        <f>ROW()-1</f>
        <v>45</v>
      </c>
    </row>
    <row r="47" spans="1:8" x14ac:dyDescent="0.2">
      <c r="A47" t="s">
        <v>64</v>
      </c>
      <c r="B47">
        <v>1</v>
      </c>
      <c r="C47">
        <v>1</v>
      </c>
      <c r="D47">
        <v>1</v>
      </c>
      <c r="E47">
        <f>SUM(B47:D47)</f>
        <v>3</v>
      </c>
      <c r="F47" t="s">
        <v>12</v>
      </c>
      <c r="G47" t="s">
        <v>10</v>
      </c>
      <c r="H47">
        <f>ROW()-1</f>
        <v>46</v>
      </c>
    </row>
    <row r="48" spans="1:8" x14ac:dyDescent="0.2">
      <c r="A48" t="s">
        <v>13</v>
      </c>
      <c r="B48">
        <v>1</v>
      </c>
      <c r="C48">
        <v>1</v>
      </c>
      <c r="D48">
        <v>1</v>
      </c>
      <c r="E48">
        <f>SUM(B48:D48)</f>
        <v>3</v>
      </c>
      <c r="F48" t="s">
        <v>18</v>
      </c>
      <c r="G48" t="s">
        <v>10</v>
      </c>
      <c r="H48">
        <f>ROW()-1</f>
        <v>47</v>
      </c>
    </row>
    <row r="49" spans="1:8" x14ac:dyDescent="0.2">
      <c r="A49" t="s">
        <v>190</v>
      </c>
      <c r="B49">
        <v>1</v>
      </c>
      <c r="C49">
        <v>0</v>
      </c>
      <c r="D49">
        <v>0</v>
      </c>
      <c r="E49">
        <f>SUM(B49:D49)</f>
        <v>1</v>
      </c>
      <c r="F49" t="s">
        <v>12</v>
      </c>
      <c r="G49" t="s">
        <v>104</v>
      </c>
      <c r="H49">
        <f>ROW()-1</f>
        <v>48</v>
      </c>
    </row>
    <row r="50" spans="1:8" x14ac:dyDescent="0.2">
      <c r="A50" t="s">
        <v>100</v>
      </c>
      <c r="B50">
        <v>0</v>
      </c>
      <c r="C50">
        <v>1</v>
      </c>
      <c r="D50" s="13">
        <v>0</v>
      </c>
      <c r="E50">
        <f>SUM(B50:D50)</f>
        <v>1</v>
      </c>
      <c r="F50" t="s">
        <v>12</v>
      </c>
      <c r="G50" t="s">
        <v>10</v>
      </c>
      <c r="H50">
        <f>ROW()-1</f>
        <v>49</v>
      </c>
    </row>
    <row r="51" spans="1:8" x14ac:dyDescent="0.2">
      <c r="A51" t="s">
        <v>97</v>
      </c>
      <c r="B51">
        <v>0</v>
      </c>
      <c r="C51">
        <v>1</v>
      </c>
      <c r="D51" s="13">
        <v>0</v>
      </c>
      <c r="E51">
        <f>SUM(B51:D51)</f>
        <v>1</v>
      </c>
      <c r="F51" t="s">
        <v>12</v>
      </c>
      <c r="G51" t="s">
        <v>10</v>
      </c>
      <c r="H51">
        <f>ROW()-1</f>
        <v>50</v>
      </c>
    </row>
    <row r="52" spans="1:8" x14ac:dyDescent="0.2">
      <c r="A52" t="s">
        <v>20</v>
      </c>
      <c r="B52">
        <v>1</v>
      </c>
      <c r="C52">
        <v>1</v>
      </c>
      <c r="D52">
        <v>1</v>
      </c>
      <c r="E52">
        <f>SUM(B52:D52)</f>
        <v>3</v>
      </c>
      <c r="F52" t="s">
        <v>18</v>
      </c>
      <c r="G52" t="s">
        <v>10</v>
      </c>
      <c r="H52">
        <f>ROW()-1</f>
        <v>51</v>
      </c>
    </row>
    <row r="53" spans="1:8" x14ac:dyDescent="0.2">
      <c r="A53" t="s">
        <v>148</v>
      </c>
      <c r="B53">
        <v>1</v>
      </c>
      <c r="C53">
        <v>0</v>
      </c>
      <c r="D53">
        <v>1</v>
      </c>
      <c r="E53">
        <f>SUM(B53:D53)</f>
        <v>2</v>
      </c>
      <c r="F53" t="s">
        <v>12</v>
      </c>
      <c r="G53" t="s">
        <v>104</v>
      </c>
      <c r="H53">
        <f>ROW()-1</f>
        <v>52</v>
      </c>
    </row>
    <row r="54" spans="1:8" x14ac:dyDescent="0.2">
      <c r="A54" t="s">
        <v>184</v>
      </c>
      <c r="B54">
        <v>1</v>
      </c>
      <c r="C54">
        <v>0</v>
      </c>
      <c r="D54" s="13">
        <v>1</v>
      </c>
      <c r="E54">
        <f>SUM(B54:D54)</f>
        <v>2</v>
      </c>
      <c r="F54" t="s">
        <v>12</v>
      </c>
      <c r="G54" t="s">
        <v>104</v>
      </c>
      <c r="H54">
        <f>ROW()-1</f>
        <v>53</v>
      </c>
    </row>
    <row r="55" spans="1:8" x14ac:dyDescent="0.2">
      <c r="A55" t="s">
        <v>142</v>
      </c>
      <c r="B55">
        <v>1</v>
      </c>
      <c r="C55">
        <v>0</v>
      </c>
      <c r="D55">
        <v>1</v>
      </c>
      <c r="E55">
        <f>SUM(B55:D55)</f>
        <v>2</v>
      </c>
      <c r="F55" t="s">
        <v>12</v>
      </c>
      <c r="G55" t="s">
        <v>104</v>
      </c>
      <c r="H55">
        <f>ROW()-1</f>
        <v>54</v>
      </c>
    </row>
    <row r="56" spans="1:8" x14ac:dyDescent="0.2">
      <c r="A56" t="s">
        <v>82</v>
      </c>
      <c r="B56">
        <v>1</v>
      </c>
      <c r="C56">
        <v>0</v>
      </c>
      <c r="D56">
        <v>0</v>
      </c>
      <c r="E56">
        <f>SUM(B56:D56)</f>
        <v>1</v>
      </c>
      <c r="F56" t="s">
        <v>12</v>
      </c>
      <c r="G56" t="s">
        <v>10</v>
      </c>
      <c r="H56">
        <f>ROW()-1</f>
        <v>55</v>
      </c>
    </row>
    <row r="57" spans="1:8" x14ac:dyDescent="0.2">
      <c r="A57" t="s">
        <v>186</v>
      </c>
      <c r="B57">
        <v>1</v>
      </c>
      <c r="C57">
        <v>0</v>
      </c>
      <c r="D57">
        <v>0</v>
      </c>
      <c r="E57">
        <f>SUM(B57:D57)</f>
        <v>1</v>
      </c>
      <c r="F57" t="s">
        <v>12</v>
      </c>
      <c r="G57" t="s">
        <v>104</v>
      </c>
      <c r="H57">
        <f>ROW()-1</f>
        <v>56</v>
      </c>
    </row>
    <row r="58" spans="1:8" x14ac:dyDescent="0.2">
      <c r="A58" t="s">
        <v>134</v>
      </c>
      <c r="B58">
        <v>1</v>
      </c>
      <c r="C58">
        <v>0</v>
      </c>
      <c r="D58">
        <v>1</v>
      </c>
      <c r="E58">
        <f>SUM(B58:D58)</f>
        <v>2</v>
      </c>
      <c r="F58" t="s">
        <v>12</v>
      </c>
      <c r="G58" t="s">
        <v>104</v>
      </c>
      <c r="H58">
        <f>ROW()-1</f>
        <v>57</v>
      </c>
    </row>
    <row r="59" spans="1:8" x14ac:dyDescent="0.2">
      <c r="A59" t="s">
        <v>161</v>
      </c>
      <c r="B59">
        <v>1</v>
      </c>
      <c r="C59">
        <v>0</v>
      </c>
      <c r="D59">
        <v>0</v>
      </c>
      <c r="E59">
        <f>SUM(B59:D59)</f>
        <v>1</v>
      </c>
      <c r="F59" t="s">
        <v>14</v>
      </c>
      <c r="G59" t="s">
        <v>104</v>
      </c>
      <c r="H59">
        <f>ROW()-1</f>
        <v>58</v>
      </c>
    </row>
    <row r="60" spans="1:8" x14ac:dyDescent="0.2">
      <c r="A60" t="s">
        <v>113</v>
      </c>
      <c r="B60">
        <v>0</v>
      </c>
      <c r="C60">
        <v>0</v>
      </c>
      <c r="D60">
        <v>1</v>
      </c>
      <c r="E60">
        <f>SUM(B60:D60)</f>
        <v>1</v>
      </c>
      <c r="F60" t="s">
        <v>18</v>
      </c>
      <c r="G60" t="s">
        <v>104</v>
      </c>
      <c r="H60">
        <f>ROW()-1</f>
        <v>59</v>
      </c>
    </row>
    <row r="61" spans="1:8" x14ac:dyDescent="0.2">
      <c r="A61" t="s">
        <v>72</v>
      </c>
      <c r="B61">
        <v>1</v>
      </c>
      <c r="C61">
        <v>0</v>
      </c>
      <c r="D61">
        <v>0</v>
      </c>
      <c r="E61">
        <f>SUM(B61:D61)</f>
        <v>1</v>
      </c>
      <c r="F61" t="s">
        <v>12</v>
      </c>
      <c r="G61" t="s">
        <v>10</v>
      </c>
      <c r="H61">
        <f>ROW()-1</f>
        <v>60</v>
      </c>
    </row>
    <row r="62" spans="1:8" x14ac:dyDescent="0.2">
      <c r="A62" t="s">
        <v>85</v>
      </c>
      <c r="B62">
        <v>1</v>
      </c>
      <c r="C62">
        <v>0</v>
      </c>
      <c r="D62">
        <v>0</v>
      </c>
      <c r="E62">
        <f>SUM(B62:D62)</f>
        <v>1</v>
      </c>
      <c r="F62" t="s">
        <v>12</v>
      </c>
      <c r="G62" t="s">
        <v>10</v>
      </c>
      <c r="H62">
        <f>ROW()-1</f>
        <v>61</v>
      </c>
    </row>
    <row r="63" spans="1:8" x14ac:dyDescent="0.2">
      <c r="A63" t="s">
        <v>123</v>
      </c>
      <c r="B63">
        <v>1</v>
      </c>
      <c r="C63">
        <v>0</v>
      </c>
      <c r="D63">
        <v>1</v>
      </c>
      <c r="E63">
        <f>SUM(B63:D63)</f>
        <v>2</v>
      </c>
      <c r="F63" t="s">
        <v>18</v>
      </c>
      <c r="G63" t="s">
        <v>104</v>
      </c>
      <c r="H63">
        <f>ROW()-1</f>
        <v>62</v>
      </c>
    </row>
    <row r="64" spans="1:8" x14ac:dyDescent="0.2">
      <c r="A64" t="s">
        <v>118</v>
      </c>
      <c r="B64">
        <v>1</v>
      </c>
      <c r="C64">
        <v>0</v>
      </c>
      <c r="D64">
        <v>1</v>
      </c>
      <c r="E64">
        <f>SUM(B64:D64)</f>
        <v>2</v>
      </c>
      <c r="F64" t="s">
        <v>18</v>
      </c>
      <c r="G64" t="s">
        <v>104</v>
      </c>
      <c r="H64">
        <f>ROW()-1</f>
        <v>63</v>
      </c>
    </row>
    <row r="65" spans="1:8" x14ac:dyDescent="0.2">
      <c r="A65" t="s">
        <v>175</v>
      </c>
      <c r="B65">
        <v>1</v>
      </c>
      <c r="C65">
        <v>0</v>
      </c>
      <c r="D65">
        <v>1</v>
      </c>
      <c r="E65">
        <f>SUM(B65:D65)</f>
        <v>2</v>
      </c>
      <c r="F65" t="s">
        <v>12</v>
      </c>
      <c r="G65" t="s">
        <v>104</v>
      </c>
      <c r="H65">
        <f>ROW()-1</f>
        <v>64</v>
      </c>
    </row>
    <row r="66" spans="1:8" x14ac:dyDescent="0.2">
      <c r="A66" t="s">
        <v>117</v>
      </c>
      <c r="B66">
        <v>1</v>
      </c>
      <c r="C66">
        <v>0</v>
      </c>
      <c r="D66">
        <v>1</v>
      </c>
      <c r="E66">
        <f>SUM(B66:D66)</f>
        <v>2</v>
      </c>
      <c r="F66" t="s">
        <v>18</v>
      </c>
      <c r="G66" t="s">
        <v>104</v>
      </c>
      <c r="H66">
        <f>ROW()-1</f>
        <v>65</v>
      </c>
    </row>
    <row r="67" spans="1:8" x14ac:dyDescent="0.2">
      <c r="A67" t="s">
        <v>149</v>
      </c>
      <c r="B67">
        <v>1</v>
      </c>
      <c r="C67">
        <v>0</v>
      </c>
      <c r="D67">
        <v>1</v>
      </c>
      <c r="E67">
        <f>SUM(B67:D67)</f>
        <v>2</v>
      </c>
      <c r="F67" t="s">
        <v>12</v>
      </c>
      <c r="G67" t="s">
        <v>104</v>
      </c>
      <c r="H67">
        <f>ROW()-1</f>
        <v>66</v>
      </c>
    </row>
    <row r="68" spans="1:8" x14ac:dyDescent="0.2">
      <c r="A68" t="s">
        <v>136</v>
      </c>
      <c r="B68">
        <v>1</v>
      </c>
      <c r="C68">
        <v>0</v>
      </c>
      <c r="D68">
        <v>1</v>
      </c>
      <c r="E68">
        <f>SUM(B68:D68)</f>
        <v>2</v>
      </c>
      <c r="F68" t="s">
        <v>12</v>
      </c>
      <c r="G68" t="s">
        <v>104</v>
      </c>
      <c r="H68">
        <f>ROW()-1</f>
        <v>67</v>
      </c>
    </row>
    <row r="69" spans="1:8" x14ac:dyDescent="0.2">
      <c r="A69" t="s">
        <v>24</v>
      </c>
      <c r="B69">
        <v>0</v>
      </c>
      <c r="C69">
        <v>1</v>
      </c>
      <c r="D69" s="13">
        <v>0</v>
      </c>
      <c r="E69">
        <f>SUM(B69:D69)</f>
        <v>1</v>
      </c>
      <c r="F69" t="s">
        <v>18</v>
      </c>
      <c r="G69" t="s">
        <v>10</v>
      </c>
      <c r="H69">
        <f>ROW()-1</f>
        <v>68</v>
      </c>
    </row>
    <row r="70" spans="1:8" x14ac:dyDescent="0.2">
      <c r="A70" t="s">
        <v>23</v>
      </c>
      <c r="B70">
        <v>0</v>
      </c>
      <c r="C70">
        <v>1</v>
      </c>
      <c r="D70" s="13">
        <v>0</v>
      </c>
      <c r="E70">
        <f>SUM(B70:D70)</f>
        <v>1</v>
      </c>
      <c r="F70" t="s">
        <v>18</v>
      </c>
      <c r="G70" t="s">
        <v>10</v>
      </c>
      <c r="H70">
        <f>ROW()-1</f>
        <v>69</v>
      </c>
    </row>
    <row r="71" spans="1:8" x14ac:dyDescent="0.2">
      <c r="A71" t="s">
        <v>151</v>
      </c>
      <c r="B71">
        <v>0</v>
      </c>
      <c r="C71">
        <v>0</v>
      </c>
      <c r="D71">
        <v>1</v>
      </c>
      <c r="E71">
        <f>SUM(B71:D71)</f>
        <v>1</v>
      </c>
      <c r="F71" t="s">
        <v>12</v>
      </c>
      <c r="G71" t="s">
        <v>104</v>
      </c>
      <c r="H71">
        <f>ROW()-1</f>
        <v>70</v>
      </c>
    </row>
    <row r="72" spans="1:8" x14ac:dyDescent="0.2">
      <c r="A72" t="s">
        <v>112</v>
      </c>
      <c r="B72">
        <v>0</v>
      </c>
      <c r="C72">
        <v>0</v>
      </c>
      <c r="D72">
        <v>1</v>
      </c>
      <c r="E72">
        <f>SUM(B72:D72)</f>
        <v>1</v>
      </c>
      <c r="F72" t="s">
        <v>18</v>
      </c>
      <c r="G72" t="s">
        <v>104</v>
      </c>
      <c r="H72">
        <f>ROW()-1</f>
        <v>71</v>
      </c>
    </row>
    <row r="73" spans="1:8" x14ac:dyDescent="0.2">
      <c r="A73" t="s">
        <v>159</v>
      </c>
      <c r="B73">
        <v>1</v>
      </c>
      <c r="C73">
        <v>0</v>
      </c>
      <c r="D73" s="13">
        <v>1</v>
      </c>
      <c r="E73">
        <f>SUM(B73:D73)</f>
        <v>2</v>
      </c>
      <c r="F73" t="s">
        <v>12</v>
      </c>
      <c r="G73" t="s">
        <v>104</v>
      </c>
      <c r="H73">
        <f>ROW()-1</f>
        <v>72</v>
      </c>
    </row>
    <row r="74" spans="1:8" x14ac:dyDescent="0.2">
      <c r="A74" t="s">
        <v>73</v>
      </c>
      <c r="B74">
        <v>1</v>
      </c>
      <c r="C74">
        <v>0</v>
      </c>
      <c r="D74">
        <v>0</v>
      </c>
      <c r="E74">
        <f>SUM(B74:D74)</f>
        <v>1</v>
      </c>
      <c r="F74" t="s">
        <v>12</v>
      </c>
      <c r="G74" t="s">
        <v>10</v>
      </c>
      <c r="H74">
        <f>ROW()-1</f>
        <v>73</v>
      </c>
    </row>
    <row r="75" spans="1:8" x14ac:dyDescent="0.2">
      <c r="A75" t="s">
        <v>121</v>
      </c>
      <c r="B75">
        <v>1</v>
      </c>
      <c r="C75">
        <v>0</v>
      </c>
      <c r="D75">
        <v>1</v>
      </c>
      <c r="E75">
        <f>SUM(B75:D75)</f>
        <v>2</v>
      </c>
      <c r="F75" t="s">
        <v>18</v>
      </c>
      <c r="G75" t="s">
        <v>104</v>
      </c>
      <c r="H75">
        <f>ROW()-1</f>
        <v>74</v>
      </c>
    </row>
    <row r="76" spans="1:8" x14ac:dyDescent="0.2">
      <c r="A76" t="s">
        <v>181</v>
      </c>
      <c r="B76">
        <v>1</v>
      </c>
      <c r="C76">
        <v>0</v>
      </c>
      <c r="D76">
        <v>1</v>
      </c>
      <c r="E76">
        <f>SUM(B76:D76)</f>
        <v>2</v>
      </c>
      <c r="F76" t="s">
        <v>12</v>
      </c>
      <c r="G76" t="s">
        <v>104</v>
      </c>
      <c r="H76">
        <f>ROW()-1</f>
        <v>75</v>
      </c>
    </row>
    <row r="77" spans="1:8" x14ac:dyDescent="0.2">
      <c r="A77" t="s">
        <v>191</v>
      </c>
      <c r="B77">
        <v>1</v>
      </c>
      <c r="C77">
        <v>0</v>
      </c>
      <c r="D77">
        <v>0</v>
      </c>
      <c r="E77">
        <f>SUM(B77:D77)</f>
        <v>1</v>
      </c>
      <c r="F77" t="s">
        <v>12</v>
      </c>
      <c r="G77" t="s">
        <v>104</v>
      </c>
      <c r="H77">
        <f>ROW()-1</f>
        <v>76</v>
      </c>
    </row>
    <row r="78" spans="1:8" x14ac:dyDescent="0.2">
      <c r="A78" t="s">
        <v>111</v>
      </c>
      <c r="B78">
        <v>0</v>
      </c>
      <c r="C78">
        <v>0</v>
      </c>
      <c r="D78">
        <v>1</v>
      </c>
      <c r="E78">
        <f>SUM(B78:D78)</f>
        <v>1</v>
      </c>
      <c r="F78" t="s">
        <v>18</v>
      </c>
      <c r="G78" t="s">
        <v>104</v>
      </c>
      <c r="H78">
        <f>ROW()-1</f>
        <v>77</v>
      </c>
    </row>
    <row r="79" spans="1:8" x14ac:dyDescent="0.2">
      <c r="A79" t="s">
        <v>140</v>
      </c>
      <c r="B79">
        <v>1</v>
      </c>
      <c r="C79">
        <v>0</v>
      </c>
      <c r="D79">
        <v>1</v>
      </c>
      <c r="E79">
        <f>SUM(B79:D79)</f>
        <v>2</v>
      </c>
      <c r="F79" t="s">
        <v>12</v>
      </c>
      <c r="G79" t="s">
        <v>104</v>
      </c>
      <c r="H79">
        <f>ROW()-1</f>
        <v>78</v>
      </c>
    </row>
    <row r="80" spans="1:8" x14ac:dyDescent="0.2">
      <c r="A80" t="s">
        <v>29</v>
      </c>
      <c r="B80">
        <v>0</v>
      </c>
      <c r="C80">
        <v>1</v>
      </c>
      <c r="D80" s="13">
        <v>0</v>
      </c>
      <c r="E80">
        <f>SUM(B80:D80)</f>
        <v>1</v>
      </c>
      <c r="F80" t="s">
        <v>18</v>
      </c>
      <c r="G80" t="s">
        <v>10</v>
      </c>
      <c r="H80">
        <f>ROW()-1</f>
        <v>79</v>
      </c>
    </row>
    <row r="81" spans="1:8" x14ac:dyDescent="0.2">
      <c r="A81" t="s">
        <v>94</v>
      </c>
      <c r="B81">
        <v>0</v>
      </c>
      <c r="C81">
        <v>1</v>
      </c>
      <c r="D81">
        <v>1</v>
      </c>
      <c r="E81">
        <f>SUM(B81:D81)</f>
        <v>2</v>
      </c>
      <c r="F81" t="s">
        <v>12</v>
      </c>
      <c r="G81" t="s">
        <v>10</v>
      </c>
      <c r="H81">
        <f>ROW()-1</f>
        <v>80</v>
      </c>
    </row>
    <row r="82" spans="1:8" x14ac:dyDescent="0.2">
      <c r="A82" t="s">
        <v>51</v>
      </c>
      <c r="B82">
        <v>0</v>
      </c>
      <c r="C82">
        <v>1</v>
      </c>
      <c r="D82">
        <v>1</v>
      </c>
      <c r="E82">
        <f>SUM(B82:D82)</f>
        <v>2</v>
      </c>
      <c r="F82" t="s">
        <v>12</v>
      </c>
      <c r="G82" t="s">
        <v>10</v>
      </c>
      <c r="H82">
        <f>ROW()-1</f>
        <v>81</v>
      </c>
    </row>
    <row r="83" spans="1:8" x14ac:dyDescent="0.2">
      <c r="A83" t="s">
        <v>37</v>
      </c>
      <c r="B83">
        <v>0</v>
      </c>
      <c r="C83">
        <v>1</v>
      </c>
      <c r="D83">
        <v>0</v>
      </c>
      <c r="E83">
        <f>SUM(B83:D83)</f>
        <v>1</v>
      </c>
      <c r="F83" t="s">
        <v>18</v>
      </c>
      <c r="G83" t="s">
        <v>10</v>
      </c>
      <c r="H83">
        <f>ROW()-1</f>
        <v>82</v>
      </c>
    </row>
    <row r="84" spans="1:8" x14ac:dyDescent="0.2">
      <c r="A84" t="s">
        <v>114</v>
      </c>
      <c r="B84">
        <v>0</v>
      </c>
      <c r="C84">
        <v>0</v>
      </c>
      <c r="D84">
        <v>1</v>
      </c>
      <c r="E84">
        <f>SUM(B84:D84)</f>
        <v>1</v>
      </c>
      <c r="F84" t="s">
        <v>18</v>
      </c>
      <c r="G84" t="s">
        <v>104</v>
      </c>
      <c r="H84">
        <f>ROW()-1</f>
        <v>83</v>
      </c>
    </row>
    <row r="85" spans="1:8" x14ac:dyDescent="0.2">
      <c r="A85" t="s">
        <v>207</v>
      </c>
      <c r="B85">
        <v>1</v>
      </c>
      <c r="C85">
        <v>1</v>
      </c>
      <c r="D85">
        <v>1</v>
      </c>
      <c r="E85">
        <f>SUM(B85:D85)</f>
        <v>3</v>
      </c>
      <c r="F85" t="s">
        <v>18</v>
      </c>
      <c r="G85" t="s">
        <v>10</v>
      </c>
      <c r="H85">
        <f>ROW()-1</f>
        <v>84</v>
      </c>
    </row>
    <row r="86" spans="1:8" x14ac:dyDescent="0.2">
      <c r="A86" t="s">
        <v>146</v>
      </c>
      <c r="B86">
        <v>1</v>
      </c>
      <c r="C86">
        <v>0</v>
      </c>
      <c r="D86">
        <v>1</v>
      </c>
      <c r="E86">
        <f>SUM(B86:D86)</f>
        <v>2</v>
      </c>
      <c r="F86" t="s">
        <v>12</v>
      </c>
      <c r="G86" t="s">
        <v>104</v>
      </c>
      <c r="H86">
        <f>ROW()-1</f>
        <v>85</v>
      </c>
    </row>
    <row r="87" spans="1:8" x14ac:dyDescent="0.2">
      <c r="A87" t="s">
        <v>165</v>
      </c>
      <c r="B87">
        <v>1</v>
      </c>
      <c r="C87">
        <v>0</v>
      </c>
      <c r="D87">
        <v>0</v>
      </c>
      <c r="E87">
        <f>SUM(B87:D87)</f>
        <v>1</v>
      </c>
      <c r="F87" t="s">
        <v>12</v>
      </c>
      <c r="G87" t="s">
        <v>104</v>
      </c>
      <c r="H87">
        <f>ROW()-1</f>
        <v>86</v>
      </c>
    </row>
    <row r="88" spans="1:8" x14ac:dyDescent="0.2">
      <c r="A88" t="s">
        <v>70</v>
      </c>
      <c r="B88">
        <v>1</v>
      </c>
      <c r="C88">
        <v>0</v>
      </c>
      <c r="D88">
        <v>1</v>
      </c>
      <c r="E88">
        <f>SUM(B88:D88)</f>
        <v>2</v>
      </c>
      <c r="F88" t="s">
        <v>12</v>
      </c>
      <c r="G88" t="s">
        <v>10</v>
      </c>
      <c r="H88">
        <f>ROW()-1</f>
        <v>87</v>
      </c>
    </row>
    <row r="89" spans="1:8" x14ac:dyDescent="0.2">
      <c r="A89" t="s">
        <v>170</v>
      </c>
      <c r="B89">
        <v>1</v>
      </c>
      <c r="C89">
        <v>0</v>
      </c>
      <c r="D89">
        <v>1</v>
      </c>
      <c r="E89">
        <f>SUM(B89:D89)</f>
        <v>2</v>
      </c>
      <c r="F89" t="s">
        <v>12</v>
      </c>
      <c r="G89" t="s">
        <v>104</v>
      </c>
      <c r="H89">
        <f>ROW()-1</f>
        <v>88</v>
      </c>
    </row>
    <row r="90" spans="1:8" x14ac:dyDescent="0.2">
      <c r="A90" t="s">
        <v>84</v>
      </c>
      <c r="B90">
        <v>0</v>
      </c>
      <c r="C90">
        <v>1</v>
      </c>
      <c r="D90">
        <v>0</v>
      </c>
      <c r="E90">
        <f>SUM(B90:D90)</f>
        <v>1</v>
      </c>
      <c r="F90" t="s">
        <v>12</v>
      </c>
      <c r="G90" t="s">
        <v>10</v>
      </c>
      <c r="H90">
        <f>ROW()-1</f>
        <v>89</v>
      </c>
    </row>
    <row r="91" spans="1:8" x14ac:dyDescent="0.2">
      <c r="A91" t="s">
        <v>163</v>
      </c>
      <c r="B91">
        <v>1</v>
      </c>
      <c r="C91">
        <v>0</v>
      </c>
      <c r="D91" s="13">
        <v>0</v>
      </c>
      <c r="E91">
        <f>SUM(B91:D91)</f>
        <v>1</v>
      </c>
      <c r="F91" t="s">
        <v>12</v>
      </c>
      <c r="G91" t="s">
        <v>104</v>
      </c>
      <c r="H91">
        <f>ROW()-1</f>
        <v>90</v>
      </c>
    </row>
    <row r="92" spans="1:8" x14ac:dyDescent="0.2">
      <c r="A92" t="s">
        <v>102</v>
      </c>
      <c r="B92">
        <v>0</v>
      </c>
      <c r="C92">
        <v>1</v>
      </c>
      <c r="D92" s="13">
        <v>0</v>
      </c>
      <c r="E92">
        <f>SUM(B92:D92)</f>
        <v>1</v>
      </c>
      <c r="F92" t="s">
        <v>12</v>
      </c>
      <c r="G92" t="s">
        <v>10</v>
      </c>
      <c r="H92">
        <f>ROW()-1</f>
        <v>91</v>
      </c>
    </row>
    <row r="93" spans="1:8" x14ac:dyDescent="0.2">
      <c r="A93" t="s">
        <v>58</v>
      </c>
      <c r="B93">
        <v>1</v>
      </c>
      <c r="C93">
        <v>1</v>
      </c>
      <c r="D93">
        <v>1</v>
      </c>
      <c r="E93">
        <f>SUM(B93:D93)</f>
        <v>3</v>
      </c>
      <c r="F93" t="s">
        <v>12</v>
      </c>
      <c r="G93" t="s">
        <v>10</v>
      </c>
      <c r="H93">
        <f>ROW()-1</f>
        <v>92</v>
      </c>
    </row>
    <row r="94" spans="1:8" x14ac:dyDescent="0.2">
      <c r="A94" t="s">
        <v>141</v>
      </c>
      <c r="B94">
        <v>1</v>
      </c>
      <c r="C94">
        <v>0</v>
      </c>
      <c r="D94">
        <v>1</v>
      </c>
      <c r="E94">
        <f>SUM(B94:D94)</f>
        <v>2</v>
      </c>
      <c r="F94" t="s">
        <v>12</v>
      </c>
      <c r="G94" t="s">
        <v>104</v>
      </c>
      <c r="H94">
        <f>ROW()-1</f>
        <v>93</v>
      </c>
    </row>
    <row r="95" spans="1:8" x14ac:dyDescent="0.2">
      <c r="A95" t="s">
        <v>66</v>
      </c>
      <c r="B95">
        <v>1</v>
      </c>
      <c r="C95">
        <v>1</v>
      </c>
      <c r="D95">
        <v>1</v>
      </c>
      <c r="E95">
        <f>SUM(B95:D95)</f>
        <v>3</v>
      </c>
      <c r="F95" t="s">
        <v>12</v>
      </c>
      <c r="G95" t="s">
        <v>10</v>
      </c>
      <c r="H95">
        <f>ROW()-1</f>
        <v>94</v>
      </c>
    </row>
    <row r="96" spans="1:8" x14ac:dyDescent="0.2">
      <c r="A96" t="s">
        <v>98</v>
      </c>
      <c r="B96">
        <v>0</v>
      </c>
      <c r="C96">
        <v>1</v>
      </c>
      <c r="D96" s="13">
        <v>0</v>
      </c>
      <c r="E96">
        <f>SUM(B96:D96)</f>
        <v>1</v>
      </c>
      <c r="F96" t="s">
        <v>12</v>
      </c>
      <c r="G96" t="s">
        <v>10</v>
      </c>
      <c r="H96">
        <f>ROW()-1</f>
        <v>95</v>
      </c>
    </row>
    <row r="97" spans="1:8" x14ac:dyDescent="0.2">
      <c r="A97" t="s">
        <v>157</v>
      </c>
      <c r="B97">
        <v>1</v>
      </c>
      <c r="C97">
        <v>0</v>
      </c>
      <c r="D97">
        <v>1</v>
      </c>
      <c r="E97">
        <f>SUM(B97:D97)</f>
        <v>2</v>
      </c>
      <c r="F97" t="s">
        <v>12</v>
      </c>
      <c r="G97" t="s">
        <v>104</v>
      </c>
      <c r="H97">
        <f>ROW()-1</f>
        <v>96</v>
      </c>
    </row>
    <row r="98" spans="1:8" x14ac:dyDescent="0.2">
      <c r="A98" t="s">
        <v>71</v>
      </c>
      <c r="B98">
        <v>1</v>
      </c>
      <c r="C98">
        <v>0</v>
      </c>
      <c r="D98">
        <v>1</v>
      </c>
      <c r="E98">
        <f>SUM(B98:D98)</f>
        <v>2</v>
      </c>
      <c r="F98" t="s">
        <v>12</v>
      </c>
      <c r="G98" t="s">
        <v>10</v>
      </c>
      <c r="H98">
        <f>ROW()-1</f>
        <v>97</v>
      </c>
    </row>
    <row r="99" spans="1:8" x14ac:dyDescent="0.2">
      <c r="A99" t="s">
        <v>169</v>
      </c>
      <c r="B99">
        <v>1</v>
      </c>
      <c r="C99">
        <v>0</v>
      </c>
      <c r="D99">
        <v>0</v>
      </c>
      <c r="E99">
        <f>SUM(B99:D99)</f>
        <v>1</v>
      </c>
      <c r="F99" t="s">
        <v>12</v>
      </c>
      <c r="G99" t="s">
        <v>104</v>
      </c>
      <c r="H99">
        <f>ROW()-1</f>
        <v>98</v>
      </c>
    </row>
    <row r="100" spans="1:8" x14ac:dyDescent="0.2">
      <c r="A100" t="s">
        <v>179</v>
      </c>
      <c r="B100">
        <v>1</v>
      </c>
      <c r="C100">
        <v>0</v>
      </c>
      <c r="D100">
        <v>1</v>
      </c>
      <c r="E100">
        <f>SUM(B100:D100)</f>
        <v>2</v>
      </c>
      <c r="F100" t="s">
        <v>12</v>
      </c>
      <c r="G100" t="s">
        <v>104</v>
      </c>
      <c r="H100">
        <f>ROW()-1</f>
        <v>99</v>
      </c>
    </row>
    <row r="101" spans="1:8" x14ac:dyDescent="0.2">
      <c r="A101" t="s">
        <v>19</v>
      </c>
      <c r="B101">
        <v>1</v>
      </c>
      <c r="C101">
        <v>1</v>
      </c>
      <c r="D101">
        <v>1</v>
      </c>
      <c r="E101">
        <f>SUM(B101:D101)</f>
        <v>3</v>
      </c>
      <c r="F101" t="s">
        <v>18</v>
      </c>
      <c r="G101" t="s">
        <v>10</v>
      </c>
      <c r="H101">
        <f>ROW()-1</f>
        <v>100</v>
      </c>
    </row>
    <row r="102" spans="1:8" x14ac:dyDescent="0.2">
      <c r="A102" t="s">
        <v>19</v>
      </c>
      <c r="B102">
        <v>1</v>
      </c>
      <c r="C102">
        <v>0</v>
      </c>
      <c r="D102">
        <v>1</v>
      </c>
      <c r="E102">
        <f>SUM(B102:D102)</f>
        <v>2</v>
      </c>
      <c r="F102" t="s">
        <v>18</v>
      </c>
      <c r="G102" t="s">
        <v>104</v>
      </c>
      <c r="H102">
        <f>ROW()-1</f>
        <v>101</v>
      </c>
    </row>
    <row r="103" spans="1:8" x14ac:dyDescent="0.2">
      <c r="A103" t="s">
        <v>166</v>
      </c>
      <c r="B103">
        <v>1</v>
      </c>
      <c r="C103">
        <v>0</v>
      </c>
      <c r="D103">
        <v>0</v>
      </c>
      <c r="E103">
        <f>SUM(B103:D103)</f>
        <v>1</v>
      </c>
      <c r="F103" t="s">
        <v>12</v>
      </c>
      <c r="G103" t="s">
        <v>104</v>
      </c>
      <c r="H103">
        <f>ROW()-1</f>
        <v>102</v>
      </c>
    </row>
    <row r="104" spans="1:8" x14ac:dyDescent="0.2">
      <c r="A104" t="s">
        <v>168</v>
      </c>
      <c r="B104">
        <v>1</v>
      </c>
      <c r="C104">
        <v>0</v>
      </c>
      <c r="D104">
        <v>0</v>
      </c>
      <c r="E104">
        <f>SUM(B104:D104)</f>
        <v>1</v>
      </c>
      <c r="F104" t="s">
        <v>12</v>
      </c>
      <c r="G104" t="s">
        <v>104</v>
      </c>
      <c r="H104">
        <f>ROW()-1</f>
        <v>103</v>
      </c>
    </row>
    <row r="105" spans="1:8" x14ac:dyDescent="0.2">
      <c r="A105" t="s">
        <v>152</v>
      </c>
      <c r="B105">
        <v>0</v>
      </c>
      <c r="C105">
        <v>0</v>
      </c>
      <c r="D105">
        <v>1</v>
      </c>
      <c r="E105">
        <f>SUM(B105:D105)</f>
        <v>1</v>
      </c>
      <c r="F105" t="s">
        <v>12</v>
      </c>
      <c r="G105" t="s">
        <v>104</v>
      </c>
      <c r="H105">
        <f>ROW()-1</f>
        <v>104</v>
      </c>
    </row>
    <row r="106" spans="1:8" x14ac:dyDescent="0.2">
      <c r="A106" t="s">
        <v>52</v>
      </c>
      <c r="B106">
        <v>0</v>
      </c>
      <c r="C106">
        <v>1</v>
      </c>
      <c r="D106">
        <v>1</v>
      </c>
      <c r="E106">
        <f>SUM(B106:D106)</f>
        <v>2</v>
      </c>
      <c r="F106" t="s">
        <v>12</v>
      </c>
      <c r="G106" t="s">
        <v>10</v>
      </c>
      <c r="H106">
        <f>ROW()-1</f>
        <v>105</v>
      </c>
    </row>
    <row r="107" spans="1:8" x14ac:dyDescent="0.2">
      <c r="A107" t="s">
        <v>174</v>
      </c>
      <c r="B107">
        <v>1</v>
      </c>
      <c r="C107">
        <v>0</v>
      </c>
      <c r="D107">
        <v>1</v>
      </c>
      <c r="E107">
        <f>SUM(B107:D107)</f>
        <v>2</v>
      </c>
      <c r="F107" t="s">
        <v>12</v>
      </c>
      <c r="G107" t="s">
        <v>104</v>
      </c>
      <c r="H107">
        <f>ROW()-1</f>
        <v>106</v>
      </c>
    </row>
    <row r="108" spans="1:8" x14ac:dyDescent="0.2">
      <c r="A108" t="s">
        <v>63</v>
      </c>
      <c r="B108">
        <v>1</v>
      </c>
      <c r="C108">
        <v>1</v>
      </c>
      <c r="D108">
        <v>1</v>
      </c>
      <c r="E108">
        <f>SUM(B108:D108)</f>
        <v>3</v>
      </c>
      <c r="F108" t="s">
        <v>12</v>
      </c>
      <c r="G108" t="s">
        <v>10</v>
      </c>
      <c r="H108">
        <f>ROW()-1</f>
        <v>107</v>
      </c>
    </row>
    <row r="109" spans="1:8" x14ac:dyDescent="0.2">
      <c r="A109" t="s">
        <v>93</v>
      </c>
      <c r="B109">
        <v>0</v>
      </c>
      <c r="C109">
        <v>1</v>
      </c>
      <c r="D109" s="13">
        <v>1</v>
      </c>
      <c r="E109">
        <f>SUM(B109:D109)</f>
        <v>2</v>
      </c>
      <c r="F109" t="s">
        <v>14</v>
      </c>
      <c r="G109" t="s">
        <v>10</v>
      </c>
      <c r="H109">
        <f>ROW()-1</f>
        <v>108</v>
      </c>
    </row>
    <row r="110" spans="1:8" x14ac:dyDescent="0.2">
      <c r="A110" t="s">
        <v>125</v>
      </c>
      <c r="B110">
        <v>1</v>
      </c>
      <c r="C110">
        <v>0</v>
      </c>
      <c r="D110">
        <v>1</v>
      </c>
      <c r="E110">
        <f>SUM(B110:D110)</f>
        <v>2</v>
      </c>
      <c r="F110" t="s">
        <v>12</v>
      </c>
      <c r="G110" t="s">
        <v>104</v>
      </c>
      <c r="H110">
        <f>ROW()-1</f>
        <v>109</v>
      </c>
    </row>
    <row r="111" spans="1:8" x14ac:dyDescent="0.2">
      <c r="A111" t="s">
        <v>153</v>
      </c>
      <c r="B111">
        <v>0</v>
      </c>
      <c r="C111">
        <v>0</v>
      </c>
      <c r="D111">
        <v>1</v>
      </c>
      <c r="E111">
        <f>SUM(B111:D111)</f>
        <v>1</v>
      </c>
      <c r="F111" t="s">
        <v>12</v>
      </c>
      <c r="G111" t="s">
        <v>104</v>
      </c>
      <c r="H111">
        <f>ROW()-1</f>
        <v>110</v>
      </c>
    </row>
    <row r="112" spans="1:8" x14ac:dyDescent="0.2">
      <c r="A112" t="s">
        <v>77</v>
      </c>
      <c r="B112">
        <v>1</v>
      </c>
      <c r="C112">
        <v>0</v>
      </c>
      <c r="D112">
        <v>1</v>
      </c>
      <c r="E112">
        <f>SUM(B112:D112)</f>
        <v>2</v>
      </c>
      <c r="F112" t="s">
        <v>12</v>
      </c>
      <c r="G112" t="s">
        <v>10</v>
      </c>
      <c r="H112">
        <f>ROW()-1</f>
        <v>111</v>
      </c>
    </row>
    <row r="113" spans="1:8" x14ac:dyDescent="0.2">
      <c r="A113" t="s">
        <v>56</v>
      </c>
      <c r="B113">
        <v>1</v>
      </c>
      <c r="C113">
        <v>1</v>
      </c>
      <c r="D113">
        <v>1</v>
      </c>
      <c r="E113">
        <f>SUM(B113:D113)</f>
        <v>3</v>
      </c>
      <c r="F113" t="s">
        <v>12</v>
      </c>
      <c r="G113" t="s">
        <v>10</v>
      </c>
      <c r="H113">
        <f>ROW()-1</f>
        <v>112</v>
      </c>
    </row>
    <row r="114" spans="1:8" x14ac:dyDescent="0.2">
      <c r="A114" t="s">
        <v>11</v>
      </c>
      <c r="B114">
        <v>1</v>
      </c>
      <c r="C114">
        <v>1</v>
      </c>
      <c r="D114">
        <v>1</v>
      </c>
      <c r="E114">
        <f>SUM(B114:D114)</f>
        <v>3</v>
      </c>
      <c r="F114" t="s">
        <v>18</v>
      </c>
      <c r="G114" t="s">
        <v>10</v>
      </c>
      <c r="H114">
        <f>ROW()-1</f>
        <v>113</v>
      </c>
    </row>
    <row r="115" spans="1:8" x14ac:dyDescent="0.2">
      <c r="A115" t="s">
        <v>105</v>
      </c>
      <c r="B115">
        <v>1</v>
      </c>
      <c r="C115">
        <v>1</v>
      </c>
      <c r="D115">
        <v>1</v>
      </c>
      <c r="E115">
        <f>SUM(B115:D115)</f>
        <v>3</v>
      </c>
      <c r="F115" t="s">
        <v>18</v>
      </c>
      <c r="G115" t="s">
        <v>104</v>
      </c>
      <c r="H115">
        <f>ROW()-1</f>
        <v>114</v>
      </c>
    </row>
    <row r="116" spans="1:8" x14ac:dyDescent="0.2">
      <c r="A116" t="s">
        <v>129</v>
      </c>
      <c r="B116">
        <v>1</v>
      </c>
      <c r="C116">
        <v>0</v>
      </c>
      <c r="D116">
        <v>1</v>
      </c>
      <c r="E116">
        <f>SUM(B116:D116)</f>
        <v>2</v>
      </c>
      <c r="F116" t="s">
        <v>12</v>
      </c>
      <c r="G116" t="s">
        <v>104</v>
      </c>
      <c r="H116">
        <f>ROW()-1</f>
        <v>115</v>
      </c>
    </row>
    <row r="117" spans="1:8" x14ac:dyDescent="0.2">
      <c r="A117" t="s">
        <v>138</v>
      </c>
      <c r="B117">
        <v>1</v>
      </c>
      <c r="C117">
        <v>0</v>
      </c>
      <c r="D117">
        <v>1</v>
      </c>
      <c r="E117">
        <f>SUM(B117:D117)</f>
        <v>2</v>
      </c>
      <c r="F117" t="s">
        <v>12</v>
      </c>
      <c r="G117" t="s">
        <v>104</v>
      </c>
      <c r="H117">
        <f>ROW()-1</f>
        <v>116</v>
      </c>
    </row>
    <row r="118" spans="1:8" x14ac:dyDescent="0.2">
      <c r="A118" t="s">
        <v>135</v>
      </c>
      <c r="B118">
        <v>1</v>
      </c>
      <c r="C118">
        <v>0</v>
      </c>
      <c r="D118">
        <v>1</v>
      </c>
      <c r="E118">
        <f>SUM(B118:D118)</f>
        <v>2</v>
      </c>
      <c r="F118" t="s">
        <v>12</v>
      </c>
      <c r="G118" t="s">
        <v>104</v>
      </c>
      <c r="H118">
        <f>ROW()-1</f>
        <v>117</v>
      </c>
    </row>
    <row r="119" spans="1:8" x14ac:dyDescent="0.2">
      <c r="A119" t="s">
        <v>144</v>
      </c>
      <c r="B119">
        <v>1</v>
      </c>
      <c r="C119">
        <v>0</v>
      </c>
      <c r="D119">
        <v>1</v>
      </c>
      <c r="E119">
        <f>SUM(B119:D119)</f>
        <v>2</v>
      </c>
      <c r="F119" t="s">
        <v>12</v>
      </c>
      <c r="G119" t="s">
        <v>104</v>
      </c>
      <c r="H119">
        <f>ROW()-1</f>
        <v>118</v>
      </c>
    </row>
    <row r="120" spans="1:8" x14ac:dyDescent="0.2">
      <c r="A120" t="s">
        <v>162</v>
      </c>
      <c r="B120">
        <v>1</v>
      </c>
      <c r="C120">
        <v>0</v>
      </c>
      <c r="D120">
        <v>0</v>
      </c>
      <c r="E120">
        <f>SUM(B120:D120)</f>
        <v>1</v>
      </c>
      <c r="F120" t="s">
        <v>14</v>
      </c>
      <c r="G120" t="s">
        <v>104</v>
      </c>
      <c r="H120">
        <f>ROW()-1</f>
        <v>119</v>
      </c>
    </row>
    <row r="121" spans="1:8" x14ac:dyDescent="0.2">
      <c r="A121" t="s">
        <v>81</v>
      </c>
      <c r="B121">
        <v>1</v>
      </c>
      <c r="C121">
        <v>0</v>
      </c>
      <c r="D121">
        <v>0</v>
      </c>
      <c r="E121">
        <f>SUM(B121:D121)</f>
        <v>1</v>
      </c>
      <c r="F121" t="s">
        <v>12</v>
      </c>
      <c r="G121" t="s">
        <v>10</v>
      </c>
      <c r="H121">
        <f>ROW()-1</f>
        <v>120</v>
      </c>
    </row>
    <row r="122" spans="1:8" x14ac:dyDescent="0.2">
      <c r="A122" t="s">
        <v>160</v>
      </c>
      <c r="B122">
        <v>1</v>
      </c>
      <c r="C122">
        <v>0</v>
      </c>
      <c r="D122" s="13">
        <v>1</v>
      </c>
      <c r="E122">
        <f>SUM(B122:D122)</f>
        <v>2</v>
      </c>
      <c r="F122" t="s">
        <v>12</v>
      </c>
      <c r="G122" t="s">
        <v>104</v>
      </c>
      <c r="H122">
        <f>ROW()-1</f>
        <v>121</v>
      </c>
    </row>
    <row r="123" spans="1:8" x14ac:dyDescent="0.2">
      <c r="A123" t="s">
        <v>80</v>
      </c>
      <c r="B123">
        <v>1</v>
      </c>
      <c r="C123">
        <v>0</v>
      </c>
      <c r="D123">
        <v>0</v>
      </c>
      <c r="E123">
        <f>SUM(B123:D123)</f>
        <v>1</v>
      </c>
      <c r="F123" t="s">
        <v>12</v>
      </c>
      <c r="G123" t="s">
        <v>10</v>
      </c>
      <c r="H123">
        <f>ROW()-1</f>
        <v>122</v>
      </c>
    </row>
    <row r="124" spans="1:8" x14ac:dyDescent="0.2">
      <c r="A124" t="s">
        <v>39</v>
      </c>
      <c r="B124">
        <v>0</v>
      </c>
      <c r="C124">
        <v>1</v>
      </c>
      <c r="D124" s="13">
        <v>1</v>
      </c>
      <c r="E124">
        <f>SUM(B124:D124)</f>
        <v>2</v>
      </c>
      <c r="F124" t="s">
        <v>18</v>
      </c>
      <c r="G124" t="s">
        <v>10</v>
      </c>
      <c r="H124">
        <f>ROW()-1</f>
        <v>123</v>
      </c>
    </row>
    <row r="125" spans="1:8" x14ac:dyDescent="0.2">
      <c r="A125" t="s">
        <v>21</v>
      </c>
      <c r="B125">
        <v>1</v>
      </c>
      <c r="C125">
        <v>1</v>
      </c>
      <c r="D125">
        <v>1</v>
      </c>
      <c r="E125">
        <f>SUM(B125:D125)</f>
        <v>3</v>
      </c>
      <c r="F125" t="s">
        <v>18</v>
      </c>
      <c r="G125" t="s">
        <v>10</v>
      </c>
      <c r="H125">
        <f>ROW()-1</f>
        <v>124</v>
      </c>
    </row>
    <row r="126" spans="1:8" x14ac:dyDescent="0.2">
      <c r="A126" t="s">
        <v>101</v>
      </c>
      <c r="B126">
        <v>0</v>
      </c>
      <c r="C126">
        <v>1</v>
      </c>
      <c r="D126" s="13">
        <v>0</v>
      </c>
      <c r="E126">
        <f>SUM(B126:D126)</f>
        <v>1</v>
      </c>
      <c r="F126" t="s">
        <v>12</v>
      </c>
      <c r="G126" t="s">
        <v>10</v>
      </c>
      <c r="H126">
        <f>ROW()-1</f>
        <v>125</v>
      </c>
    </row>
    <row r="127" spans="1:8" x14ac:dyDescent="0.2">
      <c r="A127" t="s">
        <v>171</v>
      </c>
      <c r="B127">
        <v>1</v>
      </c>
      <c r="C127">
        <v>0</v>
      </c>
      <c r="D127">
        <v>1</v>
      </c>
      <c r="E127">
        <f>SUM(B127:D127)</f>
        <v>2</v>
      </c>
      <c r="F127" t="s">
        <v>12</v>
      </c>
      <c r="G127" t="s">
        <v>104</v>
      </c>
      <c r="H127">
        <f>ROW()-1</f>
        <v>126</v>
      </c>
    </row>
    <row r="128" spans="1:8" x14ac:dyDescent="0.2">
      <c r="A128" t="s">
        <v>155</v>
      </c>
      <c r="B128">
        <v>1</v>
      </c>
      <c r="C128">
        <v>0</v>
      </c>
      <c r="D128">
        <v>1</v>
      </c>
      <c r="E128">
        <f>SUM(B128:D128)</f>
        <v>2</v>
      </c>
      <c r="F128" t="s">
        <v>12</v>
      </c>
      <c r="G128" t="s">
        <v>104</v>
      </c>
      <c r="H128">
        <f>ROW()-1</f>
        <v>127</v>
      </c>
    </row>
    <row r="129" spans="1:8" x14ac:dyDescent="0.2">
      <c r="A129" t="s">
        <v>35</v>
      </c>
      <c r="B129">
        <v>0</v>
      </c>
      <c r="C129">
        <v>1</v>
      </c>
      <c r="D129" s="13">
        <v>1</v>
      </c>
      <c r="E129">
        <f>SUM(B129:D129)</f>
        <v>2</v>
      </c>
      <c r="F129" t="s">
        <v>18</v>
      </c>
      <c r="G129" t="s">
        <v>10</v>
      </c>
      <c r="H129">
        <f>ROW()-1</f>
        <v>128</v>
      </c>
    </row>
    <row r="130" spans="1:8" x14ac:dyDescent="0.2">
      <c r="A130" t="s">
        <v>150</v>
      </c>
      <c r="B130">
        <v>1</v>
      </c>
      <c r="C130">
        <v>0</v>
      </c>
      <c r="D130">
        <v>1</v>
      </c>
      <c r="E130">
        <f>SUM(B130:D130)</f>
        <v>2</v>
      </c>
      <c r="F130" t="s">
        <v>12</v>
      </c>
      <c r="G130" t="s">
        <v>104</v>
      </c>
      <c r="H130">
        <f>ROW()-1</f>
        <v>129</v>
      </c>
    </row>
    <row r="131" spans="1:8" x14ac:dyDescent="0.2">
      <c r="A131" t="s">
        <v>183</v>
      </c>
      <c r="B131">
        <v>1</v>
      </c>
      <c r="C131">
        <v>0</v>
      </c>
      <c r="D131">
        <v>0</v>
      </c>
      <c r="E131">
        <f>SUM(B131:D131)</f>
        <v>1</v>
      </c>
      <c r="F131" t="s">
        <v>12</v>
      </c>
      <c r="G131" t="s">
        <v>104</v>
      </c>
      <c r="H131">
        <f>ROW()-1</f>
        <v>130</v>
      </c>
    </row>
    <row r="132" spans="1:8" x14ac:dyDescent="0.2">
      <c r="A132" t="s">
        <v>54</v>
      </c>
      <c r="B132">
        <v>0</v>
      </c>
      <c r="C132">
        <v>1</v>
      </c>
      <c r="D132">
        <v>0</v>
      </c>
      <c r="E132">
        <f>SUM(B132:D132)</f>
        <v>1</v>
      </c>
      <c r="F132" t="s">
        <v>12</v>
      </c>
      <c r="G132" t="s">
        <v>10</v>
      </c>
      <c r="H132">
        <f>ROW()-1</f>
        <v>131</v>
      </c>
    </row>
    <row r="133" spans="1:8" x14ac:dyDescent="0.2">
      <c r="A133" t="s">
        <v>89</v>
      </c>
      <c r="B133">
        <v>0</v>
      </c>
      <c r="C133">
        <v>1</v>
      </c>
      <c r="D133">
        <v>0</v>
      </c>
      <c r="E133">
        <f>SUM(B133:D133)</f>
        <v>1</v>
      </c>
      <c r="F133" t="s">
        <v>14</v>
      </c>
      <c r="G133" t="s">
        <v>10</v>
      </c>
      <c r="H133">
        <f>ROW()-1</f>
        <v>132</v>
      </c>
    </row>
    <row r="134" spans="1:8" x14ac:dyDescent="0.2">
      <c r="A134" t="s">
        <v>28</v>
      </c>
      <c r="B134">
        <v>0</v>
      </c>
      <c r="C134">
        <v>1</v>
      </c>
      <c r="D134" s="13">
        <v>0</v>
      </c>
      <c r="E134">
        <f>SUM(B134:D134)</f>
        <v>1</v>
      </c>
      <c r="F134" t="s">
        <v>18</v>
      </c>
      <c r="G134" t="s">
        <v>10</v>
      </c>
      <c r="H134">
        <f>ROW()-1</f>
        <v>133</v>
      </c>
    </row>
    <row r="135" spans="1:8" x14ac:dyDescent="0.2">
      <c r="A135" t="s">
        <v>187</v>
      </c>
      <c r="B135">
        <v>0</v>
      </c>
      <c r="C135">
        <v>0</v>
      </c>
      <c r="D135">
        <v>1</v>
      </c>
      <c r="E135">
        <f>SUM(B135:D135)</f>
        <v>1</v>
      </c>
      <c r="F135" t="s">
        <v>12</v>
      </c>
      <c r="G135" t="s">
        <v>104</v>
      </c>
      <c r="H135">
        <f>ROW()-1</f>
        <v>134</v>
      </c>
    </row>
    <row r="136" spans="1:8" x14ac:dyDescent="0.2">
      <c r="A136" t="s">
        <v>86</v>
      </c>
      <c r="B136">
        <v>1</v>
      </c>
      <c r="C136">
        <v>0</v>
      </c>
      <c r="D136">
        <v>0</v>
      </c>
      <c r="E136">
        <f>SUM(B136:D136)</f>
        <v>1</v>
      </c>
      <c r="F136" t="s">
        <v>12</v>
      </c>
      <c r="G136" t="s">
        <v>10</v>
      </c>
      <c r="H136">
        <f>ROW()-1</f>
        <v>135</v>
      </c>
    </row>
    <row r="137" spans="1:8" x14ac:dyDescent="0.2">
      <c r="A137" t="s">
        <v>34</v>
      </c>
      <c r="B137">
        <v>1</v>
      </c>
      <c r="C137">
        <v>1</v>
      </c>
      <c r="D137" s="13">
        <v>1</v>
      </c>
      <c r="E137">
        <f>SUM(B137:D137)</f>
        <v>3</v>
      </c>
      <c r="F137" t="s">
        <v>18</v>
      </c>
      <c r="G137" t="s">
        <v>10</v>
      </c>
      <c r="H137">
        <f>ROW()-1</f>
        <v>136</v>
      </c>
    </row>
    <row r="138" spans="1:8" x14ac:dyDescent="0.2">
      <c r="A138" t="s">
        <v>133</v>
      </c>
      <c r="B138">
        <v>1</v>
      </c>
      <c r="C138">
        <v>0</v>
      </c>
      <c r="D138">
        <v>1</v>
      </c>
      <c r="E138">
        <f>SUM(B138:D138)</f>
        <v>2</v>
      </c>
      <c r="F138" t="s">
        <v>12</v>
      </c>
      <c r="G138" t="s">
        <v>104</v>
      </c>
      <c r="H138">
        <f>ROW()-1</f>
        <v>137</v>
      </c>
    </row>
    <row r="139" spans="1:8" x14ac:dyDescent="0.2">
      <c r="A139" t="s">
        <v>145</v>
      </c>
      <c r="B139">
        <v>1</v>
      </c>
      <c r="C139">
        <v>0</v>
      </c>
      <c r="D139">
        <v>1</v>
      </c>
      <c r="E139">
        <f>SUM(B139:D139)</f>
        <v>2</v>
      </c>
      <c r="F139" t="s">
        <v>12</v>
      </c>
      <c r="G139" t="s">
        <v>104</v>
      </c>
      <c r="H139">
        <f>ROW()-1</f>
        <v>138</v>
      </c>
    </row>
    <row r="140" spans="1:8" x14ac:dyDescent="0.2">
      <c r="A140" t="s">
        <v>106</v>
      </c>
      <c r="B140">
        <v>1</v>
      </c>
      <c r="C140">
        <v>1</v>
      </c>
      <c r="D140">
        <v>1</v>
      </c>
      <c r="E140">
        <f>SUM(B140:D140)</f>
        <v>3</v>
      </c>
      <c r="F140" t="s">
        <v>18</v>
      </c>
      <c r="G140" t="s">
        <v>104</v>
      </c>
      <c r="H140">
        <f>ROW()-1</f>
        <v>139</v>
      </c>
    </row>
    <row r="141" spans="1:8" x14ac:dyDescent="0.2">
      <c r="A141" t="s">
        <v>143</v>
      </c>
      <c r="B141">
        <v>1</v>
      </c>
      <c r="C141">
        <v>0</v>
      </c>
      <c r="D141">
        <v>1</v>
      </c>
      <c r="E141">
        <f>SUM(B141:D141)</f>
        <v>2</v>
      </c>
      <c r="F141" t="s">
        <v>12</v>
      </c>
      <c r="G141" t="s">
        <v>104</v>
      </c>
      <c r="H141">
        <f>ROW()-1</f>
        <v>140</v>
      </c>
    </row>
    <row r="142" spans="1:8" x14ac:dyDescent="0.2">
      <c r="A142" t="s">
        <v>124</v>
      </c>
      <c r="B142">
        <v>1</v>
      </c>
      <c r="C142">
        <v>0</v>
      </c>
      <c r="D142">
        <v>1</v>
      </c>
      <c r="E142">
        <f>SUM(B142:D142)</f>
        <v>2</v>
      </c>
      <c r="F142" t="s">
        <v>18</v>
      </c>
      <c r="G142" t="s">
        <v>104</v>
      </c>
      <c r="H142">
        <f>ROW()-1</f>
        <v>141</v>
      </c>
    </row>
    <row r="143" spans="1:8" x14ac:dyDescent="0.2">
      <c r="A143" t="s">
        <v>178</v>
      </c>
      <c r="B143">
        <v>1</v>
      </c>
      <c r="C143">
        <v>0</v>
      </c>
      <c r="D143">
        <v>1</v>
      </c>
      <c r="E143">
        <f>SUM(B143:D143)</f>
        <v>2</v>
      </c>
      <c r="F143" t="s">
        <v>12</v>
      </c>
      <c r="G143" t="s">
        <v>104</v>
      </c>
      <c r="H143">
        <f>ROW()-1</f>
        <v>142</v>
      </c>
    </row>
    <row r="144" spans="1:8" x14ac:dyDescent="0.2">
      <c r="A144" t="s">
        <v>49</v>
      </c>
      <c r="B144">
        <v>1</v>
      </c>
      <c r="C144">
        <v>1</v>
      </c>
      <c r="D144">
        <v>1</v>
      </c>
      <c r="E144">
        <f>SUM(B144:D144)</f>
        <v>3</v>
      </c>
      <c r="F144" t="s">
        <v>18</v>
      </c>
      <c r="G144" t="s">
        <v>10</v>
      </c>
      <c r="H144">
        <f>ROW()-1</f>
        <v>143</v>
      </c>
    </row>
    <row r="145" spans="1:8" x14ac:dyDescent="0.2">
      <c r="A145" t="s">
        <v>25</v>
      </c>
      <c r="B145">
        <v>0</v>
      </c>
      <c r="C145">
        <v>1</v>
      </c>
      <c r="D145" s="13">
        <v>0</v>
      </c>
      <c r="E145">
        <f>SUM(B145:D145)</f>
        <v>1</v>
      </c>
      <c r="F145" t="s">
        <v>18</v>
      </c>
      <c r="G145" t="s">
        <v>10</v>
      </c>
      <c r="H145">
        <f>ROW()-1</f>
        <v>144</v>
      </c>
    </row>
    <row r="146" spans="1:8" x14ac:dyDescent="0.2">
      <c r="A146" t="s">
        <v>50</v>
      </c>
      <c r="B146">
        <v>1</v>
      </c>
      <c r="C146">
        <v>1</v>
      </c>
      <c r="D146">
        <v>1</v>
      </c>
      <c r="E146">
        <f>SUM(B146:D146)</f>
        <v>3</v>
      </c>
      <c r="F146" t="s">
        <v>18</v>
      </c>
      <c r="G146" t="s">
        <v>10</v>
      </c>
      <c r="H146">
        <f>ROW()-1</f>
        <v>145</v>
      </c>
    </row>
    <row r="147" spans="1:8" x14ac:dyDescent="0.2">
      <c r="A147" t="s">
        <v>116</v>
      </c>
      <c r="B147">
        <v>1</v>
      </c>
      <c r="C147">
        <v>0</v>
      </c>
      <c r="D147">
        <v>1</v>
      </c>
      <c r="E147">
        <f>SUM(B147:D147)</f>
        <v>2</v>
      </c>
      <c r="F147" t="s">
        <v>18</v>
      </c>
      <c r="G147" t="s">
        <v>104</v>
      </c>
      <c r="H147">
        <f>ROW()-1</f>
        <v>146</v>
      </c>
    </row>
    <row r="148" spans="1:8" x14ac:dyDescent="0.2">
      <c r="A148" t="s">
        <v>79</v>
      </c>
      <c r="B148">
        <v>1</v>
      </c>
      <c r="C148">
        <v>0</v>
      </c>
      <c r="D148">
        <v>0</v>
      </c>
      <c r="E148">
        <f>SUM(B148:D148)</f>
        <v>1</v>
      </c>
      <c r="F148" t="s">
        <v>12</v>
      </c>
      <c r="G148" t="s">
        <v>10</v>
      </c>
      <c r="H148">
        <f>ROW()-1</f>
        <v>147</v>
      </c>
    </row>
    <row r="149" spans="1:8" x14ac:dyDescent="0.2">
      <c r="A149" t="s">
        <v>173</v>
      </c>
      <c r="B149">
        <v>1</v>
      </c>
      <c r="C149">
        <v>0</v>
      </c>
      <c r="D149">
        <v>0</v>
      </c>
      <c r="E149">
        <f>SUM(B149:D149)</f>
        <v>1</v>
      </c>
      <c r="F149" t="s">
        <v>12</v>
      </c>
      <c r="G149" t="s">
        <v>104</v>
      </c>
      <c r="H149">
        <f>ROW()-1</f>
        <v>148</v>
      </c>
    </row>
    <row r="150" spans="1:8" x14ac:dyDescent="0.2">
      <c r="A150" t="s">
        <v>74</v>
      </c>
      <c r="B150">
        <v>0</v>
      </c>
      <c r="C150">
        <v>1</v>
      </c>
      <c r="D150">
        <v>0</v>
      </c>
      <c r="E150">
        <f>SUM(B150:D150)</f>
        <v>1</v>
      </c>
      <c r="F150" t="s">
        <v>12</v>
      </c>
      <c r="G150" t="s">
        <v>10</v>
      </c>
      <c r="H150">
        <f>ROW()-1</f>
        <v>149</v>
      </c>
    </row>
    <row r="151" spans="1:8" x14ac:dyDescent="0.2">
      <c r="A151" t="s">
        <v>108</v>
      </c>
      <c r="B151">
        <v>1</v>
      </c>
      <c r="C151">
        <v>0</v>
      </c>
      <c r="D151">
        <v>1</v>
      </c>
      <c r="E151">
        <f>SUM(B151:D151)</f>
        <v>2</v>
      </c>
      <c r="F151" t="s">
        <v>18</v>
      </c>
      <c r="G151" t="s">
        <v>104</v>
      </c>
      <c r="H151">
        <f>ROW()-1</f>
        <v>150</v>
      </c>
    </row>
    <row r="152" spans="1:8" x14ac:dyDescent="0.2">
      <c r="A152" t="s">
        <v>128</v>
      </c>
      <c r="B152">
        <v>1</v>
      </c>
      <c r="C152">
        <v>0</v>
      </c>
      <c r="D152">
        <v>1</v>
      </c>
      <c r="E152">
        <f>SUM(B152:D152)</f>
        <v>2</v>
      </c>
      <c r="F152" t="s">
        <v>12</v>
      </c>
      <c r="G152" t="s">
        <v>104</v>
      </c>
      <c r="H152">
        <f>ROW()-1</f>
        <v>151</v>
      </c>
    </row>
    <row r="153" spans="1:8" x14ac:dyDescent="0.2">
      <c r="A153" t="s">
        <v>164</v>
      </c>
      <c r="B153">
        <v>1</v>
      </c>
      <c r="C153">
        <v>0</v>
      </c>
      <c r="D153" s="13">
        <v>0</v>
      </c>
      <c r="E153">
        <f>SUM(B153:D153)</f>
        <v>1</v>
      </c>
      <c r="F153" t="s">
        <v>12</v>
      </c>
      <c r="G153" t="s">
        <v>104</v>
      </c>
      <c r="H153">
        <f>ROW()-1</f>
        <v>152</v>
      </c>
    </row>
    <row r="154" spans="1:8" x14ac:dyDescent="0.2">
      <c r="A154" t="s">
        <v>122</v>
      </c>
      <c r="B154">
        <v>1</v>
      </c>
      <c r="C154">
        <v>0</v>
      </c>
      <c r="D154">
        <v>1</v>
      </c>
      <c r="E154">
        <f>SUM(B154:D154)</f>
        <v>2</v>
      </c>
      <c r="F154" t="s">
        <v>18</v>
      </c>
      <c r="G154" t="s">
        <v>104</v>
      </c>
      <c r="H154">
        <f>ROW()-1</f>
        <v>153</v>
      </c>
    </row>
    <row r="155" spans="1:8" x14ac:dyDescent="0.2">
      <c r="A155" t="s">
        <v>75</v>
      </c>
      <c r="B155">
        <v>0</v>
      </c>
      <c r="C155">
        <v>1</v>
      </c>
      <c r="D155">
        <v>0</v>
      </c>
      <c r="E155">
        <f>SUM(B155:D155)</f>
        <v>1</v>
      </c>
      <c r="F155" t="s">
        <v>12</v>
      </c>
      <c r="G155" t="s">
        <v>10</v>
      </c>
      <c r="H155">
        <f>ROW()-1</f>
        <v>154</v>
      </c>
    </row>
    <row r="156" spans="1:8" x14ac:dyDescent="0.2">
      <c r="A156" t="s">
        <v>109</v>
      </c>
      <c r="B156">
        <v>1</v>
      </c>
      <c r="C156">
        <v>0</v>
      </c>
      <c r="D156">
        <v>1</v>
      </c>
      <c r="E156">
        <f>SUM(B156:D156)</f>
        <v>2</v>
      </c>
      <c r="F156" t="s">
        <v>18</v>
      </c>
      <c r="G156" t="s">
        <v>104</v>
      </c>
      <c r="H156">
        <f>ROW()-1</f>
        <v>155</v>
      </c>
    </row>
    <row r="157" spans="1:8" x14ac:dyDescent="0.2">
      <c r="A157" t="s">
        <v>99</v>
      </c>
      <c r="B157">
        <v>0</v>
      </c>
      <c r="C157">
        <v>1</v>
      </c>
      <c r="D157" s="13">
        <v>0</v>
      </c>
      <c r="E157">
        <f>SUM(B157:D157)</f>
        <v>1</v>
      </c>
      <c r="F157" t="s">
        <v>12</v>
      </c>
      <c r="G157" t="s">
        <v>10</v>
      </c>
      <c r="H157">
        <f>ROW()-1</f>
        <v>156</v>
      </c>
    </row>
    <row r="158" spans="1:8" x14ac:dyDescent="0.2">
      <c r="A158" t="s">
        <v>91</v>
      </c>
      <c r="B158">
        <v>0</v>
      </c>
      <c r="C158">
        <v>1</v>
      </c>
      <c r="D158" s="13">
        <v>1</v>
      </c>
      <c r="E158">
        <f>SUM(B158:D158)</f>
        <v>2</v>
      </c>
      <c r="F158" t="s">
        <v>14</v>
      </c>
      <c r="G158" t="s">
        <v>10</v>
      </c>
      <c r="H158">
        <f>ROW()-1</f>
        <v>157</v>
      </c>
    </row>
    <row r="159" spans="1:8" x14ac:dyDescent="0.2">
      <c r="A159" t="s">
        <v>107</v>
      </c>
      <c r="B159">
        <v>1</v>
      </c>
      <c r="C159">
        <v>1</v>
      </c>
      <c r="D159">
        <v>1</v>
      </c>
      <c r="E159">
        <f>SUM(B159:D159)</f>
        <v>3</v>
      </c>
      <c r="F159" t="s">
        <v>18</v>
      </c>
      <c r="G159" t="s">
        <v>104</v>
      </c>
      <c r="H159">
        <f>ROW()-1</f>
        <v>158</v>
      </c>
    </row>
    <row r="160" spans="1:8" x14ac:dyDescent="0.2">
      <c r="A160" t="s">
        <v>115</v>
      </c>
      <c r="B160">
        <v>1</v>
      </c>
      <c r="C160">
        <v>0</v>
      </c>
      <c r="D160">
        <v>1</v>
      </c>
      <c r="E160">
        <f>SUM(B160:D160)</f>
        <v>2</v>
      </c>
      <c r="F160" t="s">
        <v>18</v>
      </c>
      <c r="G160" t="s">
        <v>104</v>
      </c>
      <c r="H160">
        <f>ROW()-1</f>
        <v>159</v>
      </c>
    </row>
    <row r="161" spans="1:8" x14ac:dyDescent="0.2">
      <c r="A161" t="s">
        <v>182</v>
      </c>
      <c r="B161">
        <v>1</v>
      </c>
      <c r="C161">
        <v>0</v>
      </c>
      <c r="D161">
        <v>0</v>
      </c>
      <c r="E161">
        <f>SUM(B161:D161)</f>
        <v>1</v>
      </c>
      <c r="F161" t="s">
        <v>12</v>
      </c>
      <c r="G161" t="s">
        <v>104</v>
      </c>
      <c r="H161">
        <f>ROW()-1</f>
        <v>160</v>
      </c>
    </row>
    <row r="162" spans="1:8" x14ac:dyDescent="0.2">
      <c r="A162" t="s">
        <v>147</v>
      </c>
      <c r="B162">
        <v>1</v>
      </c>
      <c r="C162">
        <v>0</v>
      </c>
      <c r="D162">
        <v>1</v>
      </c>
      <c r="E162">
        <f>SUM(B162:D162)</f>
        <v>2</v>
      </c>
      <c r="F162" t="s">
        <v>12</v>
      </c>
      <c r="G162" t="s">
        <v>104</v>
      </c>
      <c r="H162">
        <f>ROW()-1</f>
        <v>161</v>
      </c>
    </row>
    <row r="163" spans="1:8" x14ac:dyDescent="0.2">
      <c r="A163" t="s">
        <v>83</v>
      </c>
      <c r="B163">
        <v>0</v>
      </c>
      <c r="C163">
        <v>1</v>
      </c>
      <c r="D163">
        <v>0</v>
      </c>
      <c r="E163">
        <f>SUM(B163:D163)</f>
        <v>1</v>
      </c>
      <c r="F163" t="s">
        <v>12</v>
      </c>
      <c r="G163" t="s">
        <v>10</v>
      </c>
      <c r="H163">
        <f>ROW()-1</f>
        <v>162</v>
      </c>
    </row>
    <row r="164" spans="1:8" x14ac:dyDescent="0.2">
      <c r="A164" t="s">
        <v>47</v>
      </c>
      <c r="B164">
        <v>1</v>
      </c>
      <c r="C164">
        <v>1</v>
      </c>
      <c r="D164">
        <v>1</v>
      </c>
      <c r="E164">
        <f>SUM(B164:D164)</f>
        <v>3</v>
      </c>
      <c r="F164" t="s">
        <v>18</v>
      </c>
      <c r="G164" t="s">
        <v>10</v>
      </c>
      <c r="H164">
        <f>ROW()-1</f>
        <v>163</v>
      </c>
    </row>
    <row r="165" spans="1:8" x14ac:dyDescent="0.2">
      <c r="A165" t="s">
        <v>167</v>
      </c>
      <c r="B165">
        <v>1</v>
      </c>
      <c r="C165">
        <v>0</v>
      </c>
      <c r="D165">
        <v>0</v>
      </c>
      <c r="E165">
        <f>SUM(B165:D165)</f>
        <v>1</v>
      </c>
      <c r="F165" t="s">
        <v>12</v>
      </c>
      <c r="G165" t="s">
        <v>104</v>
      </c>
      <c r="H165">
        <f>ROW()-1</f>
        <v>164</v>
      </c>
    </row>
    <row r="166" spans="1:8" x14ac:dyDescent="0.2">
      <c r="A166" t="s">
        <v>60</v>
      </c>
      <c r="B166">
        <v>1</v>
      </c>
      <c r="C166">
        <v>1</v>
      </c>
      <c r="D166">
        <v>1</v>
      </c>
      <c r="E166">
        <f>SUM(B166:D166)</f>
        <v>3</v>
      </c>
      <c r="F166" t="s">
        <v>12</v>
      </c>
      <c r="G166" t="s">
        <v>10</v>
      </c>
      <c r="H166">
        <f>ROW()-1</f>
        <v>165</v>
      </c>
    </row>
    <row r="167" spans="1:8" x14ac:dyDescent="0.2">
      <c r="A167" t="s">
        <v>76</v>
      </c>
      <c r="B167">
        <v>1</v>
      </c>
      <c r="C167">
        <v>0</v>
      </c>
      <c r="D167">
        <v>1</v>
      </c>
      <c r="E167">
        <f>SUM(B167:D167)</f>
        <v>2</v>
      </c>
      <c r="F167" t="s">
        <v>12</v>
      </c>
      <c r="G167" t="s">
        <v>10</v>
      </c>
      <c r="H167">
        <f>ROW()-1</f>
        <v>166</v>
      </c>
    </row>
    <row r="168" spans="1:8" x14ac:dyDescent="0.2">
      <c r="A168" t="s">
        <v>55</v>
      </c>
      <c r="B168">
        <v>1</v>
      </c>
      <c r="C168">
        <v>1</v>
      </c>
      <c r="D168">
        <v>1</v>
      </c>
      <c r="E168">
        <f>SUM(B168:D168)</f>
        <v>3</v>
      </c>
      <c r="F168" t="s">
        <v>12</v>
      </c>
      <c r="G168" t="s">
        <v>10</v>
      </c>
      <c r="H168">
        <f>ROW()-1</f>
        <v>167</v>
      </c>
    </row>
    <row r="169" spans="1:8" x14ac:dyDescent="0.2">
      <c r="A169" t="s">
        <v>120</v>
      </c>
      <c r="B169">
        <v>1</v>
      </c>
      <c r="C169">
        <v>0</v>
      </c>
      <c r="D169">
        <v>1</v>
      </c>
      <c r="E169">
        <f>SUM(B169:D169)</f>
        <v>2</v>
      </c>
      <c r="F169" t="s">
        <v>18</v>
      </c>
      <c r="G169" t="s">
        <v>104</v>
      </c>
      <c r="H169">
        <f>ROW()-1</f>
        <v>168</v>
      </c>
    </row>
    <row r="170" spans="1:8" x14ac:dyDescent="0.2">
      <c r="A170" t="s">
        <v>41</v>
      </c>
      <c r="B170">
        <v>0</v>
      </c>
      <c r="C170">
        <v>1</v>
      </c>
      <c r="D170">
        <v>1</v>
      </c>
      <c r="E170">
        <f>SUM(B170:D170)</f>
        <v>2</v>
      </c>
      <c r="F170" t="s">
        <v>18</v>
      </c>
      <c r="G170" t="s">
        <v>10</v>
      </c>
      <c r="H170">
        <f>ROW()-1</f>
        <v>169</v>
      </c>
    </row>
    <row r="171" spans="1:8" x14ac:dyDescent="0.2">
      <c r="A171" t="s">
        <v>27</v>
      </c>
      <c r="B171">
        <v>0</v>
      </c>
      <c r="C171">
        <v>1</v>
      </c>
      <c r="D171" s="13">
        <v>0</v>
      </c>
      <c r="E171">
        <f>SUM(B171:D171)</f>
        <v>1</v>
      </c>
      <c r="F171" t="s">
        <v>18</v>
      </c>
      <c r="G171" t="s">
        <v>10</v>
      </c>
      <c r="H171">
        <f>ROW()-1</f>
        <v>170</v>
      </c>
    </row>
    <row r="172" spans="1:8" x14ac:dyDescent="0.2">
      <c r="A172" t="s">
        <v>38</v>
      </c>
      <c r="B172">
        <v>0</v>
      </c>
      <c r="C172">
        <v>1</v>
      </c>
      <c r="D172" s="13">
        <v>1</v>
      </c>
      <c r="E172">
        <f>SUM(B172:D172)</f>
        <v>2</v>
      </c>
      <c r="F172" t="s">
        <v>18</v>
      </c>
      <c r="G172" t="s">
        <v>10</v>
      </c>
      <c r="H172">
        <f>ROW()-1</f>
        <v>171</v>
      </c>
    </row>
    <row r="173" spans="1:8" x14ac:dyDescent="0.2">
      <c r="A173" t="s">
        <v>40</v>
      </c>
      <c r="B173">
        <v>0</v>
      </c>
      <c r="C173">
        <v>1</v>
      </c>
      <c r="D173" s="13">
        <v>0</v>
      </c>
      <c r="E173">
        <f>SUM(B173:D173)</f>
        <v>1</v>
      </c>
      <c r="F173" t="s">
        <v>18</v>
      </c>
      <c r="G173" t="s">
        <v>10</v>
      </c>
      <c r="H173">
        <f>ROW()-1</f>
        <v>172</v>
      </c>
    </row>
    <row r="174" spans="1:8" x14ac:dyDescent="0.2">
      <c r="A174" t="s">
        <v>33</v>
      </c>
      <c r="B174">
        <v>1</v>
      </c>
      <c r="C174">
        <v>1</v>
      </c>
      <c r="D174">
        <v>1</v>
      </c>
      <c r="E174">
        <f>SUM(B174:D174)</f>
        <v>3</v>
      </c>
      <c r="F174" t="s">
        <v>18</v>
      </c>
      <c r="G174" t="s">
        <v>10</v>
      </c>
      <c r="H174">
        <f>ROW()-1</f>
        <v>173</v>
      </c>
    </row>
    <row r="175" spans="1:8" x14ac:dyDescent="0.2">
      <c r="A175" t="s">
        <v>156</v>
      </c>
      <c r="B175">
        <v>1</v>
      </c>
      <c r="C175">
        <v>0</v>
      </c>
      <c r="D175">
        <v>1</v>
      </c>
      <c r="E175">
        <f>SUM(B175:D175)</f>
        <v>2</v>
      </c>
      <c r="F175" t="s">
        <v>12</v>
      </c>
      <c r="G175" t="s">
        <v>104</v>
      </c>
      <c r="H175">
        <f>ROW()-1</f>
        <v>174</v>
      </c>
    </row>
    <row r="176" spans="1:8" x14ac:dyDescent="0.2">
      <c r="A176" t="s">
        <v>130</v>
      </c>
      <c r="B176">
        <v>1</v>
      </c>
      <c r="C176">
        <v>0</v>
      </c>
      <c r="D176">
        <v>1</v>
      </c>
      <c r="E176">
        <f>SUM(B176:D176)</f>
        <v>2</v>
      </c>
      <c r="F176" t="s">
        <v>12</v>
      </c>
      <c r="G176" t="s">
        <v>104</v>
      </c>
      <c r="H176">
        <f>ROW()-1</f>
        <v>175</v>
      </c>
    </row>
    <row r="177" spans="1:8" x14ac:dyDescent="0.2">
      <c r="A177" t="s">
        <v>68</v>
      </c>
      <c r="B177">
        <v>1</v>
      </c>
      <c r="C177">
        <v>0</v>
      </c>
      <c r="D177">
        <v>1</v>
      </c>
      <c r="E177">
        <f>SUM(B177:D177)</f>
        <v>2</v>
      </c>
      <c r="F177" t="s">
        <v>12</v>
      </c>
      <c r="G177" t="s">
        <v>10</v>
      </c>
      <c r="H177">
        <f>ROW()-1</f>
        <v>176</v>
      </c>
    </row>
    <row r="178" spans="1:8" x14ac:dyDescent="0.2">
      <c r="A178" t="s">
        <v>180</v>
      </c>
      <c r="B178">
        <v>1</v>
      </c>
      <c r="C178">
        <v>0</v>
      </c>
      <c r="D178">
        <v>1</v>
      </c>
      <c r="E178">
        <f>SUM(B178:D178)</f>
        <v>2</v>
      </c>
      <c r="F178" t="s">
        <v>12</v>
      </c>
      <c r="G178" t="s">
        <v>104</v>
      </c>
      <c r="H178">
        <f>ROW()-1</f>
        <v>177</v>
      </c>
    </row>
    <row r="179" spans="1:8" x14ac:dyDescent="0.2">
      <c r="A179" t="s">
        <v>30</v>
      </c>
      <c r="B179">
        <v>0</v>
      </c>
      <c r="C179">
        <v>1</v>
      </c>
      <c r="D179" s="13">
        <v>0</v>
      </c>
      <c r="E179">
        <f>SUM(B179:D179)</f>
        <v>1</v>
      </c>
      <c r="F179" t="s">
        <v>18</v>
      </c>
      <c r="G179" t="s">
        <v>10</v>
      </c>
      <c r="H179">
        <f>ROW()-1</f>
        <v>178</v>
      </c>
    </row>
    <row r="180" spans="1:8" x14ac:dyDescent="0.2">
      <c r="A180" t="s">
        <v>31</v>
      </c>
      <c r="B180">
        <v>0</v>
      </c>
      <c r="C180">
        <v>1</v>
      </c>
      <c r="D180" s="13">
        <v>0</v>
      </c>
      <c r="E180">
        <f>SUM(B180:D180)</f>
        <v>1</v>
      </c>
      <c r="F180" t="s">
        <v>18</v>
      </c>
      <c r="G180" t="s">
        <v>10</v>
      </c>
      <c r="H180">
        <f>ROW()-1</f>
        <v>179</v>
      </c>
    </row>
    <row r="183" spans="1:8" ht="19" x14ac:dyDescent="0.25">
      <c r="A183" s="10" t="s">
        <v>192</v>
      </c>
    </row>
    <row r="185" spans="1:8" x14ac:dyDescent="0.2">
      <c r="A185" s="11" t="s">
        <v>193</v>
      </c>
      <c r="B185" s="11" t="s">
        <v>194</v>
      </c>
      <c r="C185" s="11" t="s">
        <v>195</v>
      </c>
      <c r="D185" s="11" t="s">
        <v>196</v>
      </c>
    </row>
    <row r="186" spans="1:8" x14ac:dyDescent="0.2">
      <c r="A186" t="s">
        <v>1</v>
      </c>
      <c r="B186">
        <f>COUNTIF(B2:B180,1)</f>
        <v>125</v>
      </c>
      <c r="C186">
        <f>COUNTIFS(B2:B180,1,G2:G180,"John B")</f>
        <v>45</v>
      </c>
      <c r="D186">
        <f>COUNTIFS(B2:B180,1,G2:G180,"Darling")</f>
        <v>80</v>
      </c>
    </row>
    <row r="187" spans="1:8" x14ac:dyDescent="0.2">
      <c r="A187" t="s">
        <v>2</v>
      </c>
      <c r="B187">
        <f>COUNTIF(C2:C180,1)</f>
        <v>76</v>
      </c>
      <c r="C187">
        <f>COUNTIFS(C2:C180,1,G2:G180,"John B")</f>
        <v>72</v>
      </c>
      <c r="D187">
        <f>COUNTIFS(C2:C180,1,G2:G180,"Darling")</f>
        <v>4</v>
      </c>
    </row>
    <row r="188" spans="1:8" x14ac:dyDescent="0.2">
      <c r="A188" s="14" t="s">
        <v>3</v>
      </c>
      <c r="B188" s="14">
        <f>COUNTIF(D2:D180,1)</f>
        <v>128</v>
      </c>
      <c r="C188" s="14">
        <f>COUNTIFS(D2:D180,1,G2:G180,"John B")</f>
        <v>55</v>
      </c>
      <c r="D188" s="14">
        <f>COUNTIFS(D2:D180,1,G2:G180,"Darling")</f>
        <v>73</v>
      </c>
      <c r="F188" s="13" t="s">
        <v>206</v>
      </c>
    </row>
    <row r="191" spans="1:8" ht="19" x14ac:dyDescent="0.25">
      <c r="A191" s="10" t="s">
        <v>197</v>
      </c>
    </row>
    <row r="193" spans="1:5" x14ac:dyDescent="0.2">
      <c r="A193" s="11" t="s">
        <v>5</v>
      </c>
      <c r="B193" s="11" t="s">
        <v>194</v>
      </c>
      <c r="C193" s="11" t="s">
        <v>198</v>
      </c>
      <c r="D193" s="11" t="s">
        <v>199</v>
      </c>
      <c r="E193" s="11" t="s">
        <v>3</v>
      </c>
    </row>
    <row r="194" spans="1:5" x14ac:dyDescent="0.2">
      <c r="A194" t="s">
        <v>18</v>
      </c>
      <c r="B194">
        <f>COUNTIF(F2:F180,"Family")</f>
        <v>59</v>
      </c>
      <c r="C194">
        <f>COUNTIFS(B2:B180,1,F2:F180,"Family")</f>
        <v>34</v>
      </c>
      <c r="D194">
        <f>COUNTIFS(C2:C180,1,F2:F180,"Family")</f>
        <v>41</v>
      </c>
      <c r="E194">
        <f>COUNTIFS(D2:D180,1,F2:F180,"Family")</f>
        <v>48</v>
      </c>
    </row>
    <row r="195" spans="1:5" x14ac:dyDescent="0.2">
      <c r="A195" t="s">
        <v>9</v>
      </c>
      <c r="B195">
        <f>COUNTIF(F2:F180,"Extended Family")</f>
        <v>0</v>
      </c>
      <c r="C195">
        <f>COUNTIFS(B2:B180,1,F2:F180,"Extended Family")</f>
        <v>0</v>
      </c>
      <c r="D195">
        <f>COUNTIFS(C2:C180,1,F2:F180,"Extended Family")</f>
        <v>0</v>
      </c>
      <c r="E195">
        <f>COUNTIFS(D2:D180,1,F2:F180,"Extended Family")</f>
        <v>0</v>
      </c>
    </row>
    <row r="196" spans="1:5" x14ac:dyDescent="0.2">
      <c r="A196" t="s">
        <v>12</v>
      </c>
      <c r="B196">
        <f>COUNTIF(F2:F180,"Friends")</f>
        <v>112</v>
      </c>
      <c r="C196">
        <f>COUNTIFS(B2:B180,1,F2:F180,"Friends")</f>
        <v>89</v>
      </c>
      <c r="D196">
        <f>COUNTIFS(C2:C180,1,F2:F180,"Friends")</f>
        <v>29</v>
      </c>
      <c r="E196">
        <f>COUNTIFS(D2:D180,1,F2:F180,"Friends")</f>
        <v>76</v>
      </c>
    </row>
    <row r="197" spans="1:5" x14ac:dyDescent="0.2">
      <c r="A197" t="s">
        <v>14</v>
      </c>
      <c r="B197">
        <f>COUNTIF(F2:F180,"Fringe")</f>
        <v>8</v>
      </c>
      <c r="C197">
        <f>COUNTIFS(B2:B180,1,F2:F180,"Fringe")</f>
        <v>2</v>
      </c>
      <c r="D197">
        <f>COUNTIFS(C2:C180,1,F2:F180,"Fringe")</f>
        <v>6</v>
      </c>
      <c r="E197">
        <f>COUNTIFS(D2:D180,1,F2:F180,"Fringe")</f>
        <v>4</v>
      </c>
    </row>
    <row r="198" spans="1:5" x14ac:dyDescent="0.2">
      <c r="A198" t="s">
        <v>16</v>
      </c>
      <c r="B198">
        <f>COUNTIF(F2:F180,"Not Expecting")</f>
        <v>0</v>
      </c>
      <c r="C198">
        <f>COUNTIFS(B2:B180,1,F2:F180,"Not Expecting")</f>
        <v>0</v>
      </c>
      <c r="D198">
        <f>COUNTIFS(C2:C180,1,F2:F180,"Not Expecting")</f>
        <v>0</v>
      </c>
      <c r="E198">
        <f>COUNTIFS(D2:D180,1,F2:F180,"Not Expecting")</f>
        <v>0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62FA-324D-F74A-B347-A1399B2064C9}">
  <dimension ref="A1:L22"/>
  <sheetViews>
    <sheetView workbookViewId="0">
      <selection activeCell="L11" sqref="L11"/>
    </sheetView>
  </sheetViews>
  <sheetFormatPr baseColWidth="10" defaultColWidth="8.83203125" defaultRowHeight="15" x14ac:dyDescent="0.2"/>
  <cols>
    <col min="1" max="1" width="39.6640625" bestFit="1" customWidth="1"/>
    <col min="2" max="2" width="30.1640625" bestFit="1" customWidth="1"/>
    <col min="3" max="3" width="0" hidden="1" customWidth="1"/>
    <col min="4" max="4" width="22.83203125" hidden="1" customWidth="1"/>
    <col min="5" max="5" width="21.33203125" hidden="1" customWidth="1"/>
    <col min="6" max="6" width="25.1640625" hidden="1" customWidth="1"/>
    <col min="7" max="7" width="14.5" hidden="1" customWidth="1"/>
    <col min="8" max="8" width="37" hidden="1" customWidth="1"/>
    <col min="9" max="9" width="19" bestFit="1" customWidth="1"/>
    <col min="10" max="10" width="13.83203125" hidden="1" customWidth="1"/>
    <col min="11" max="11" width="55" bestFit="1" customWidth="1"/>
    <col min="12" max="12" width="55" customWidth="1"/>
    <col min="13" max="13" width="8.83203125" customWidth="1"/>
  </cols>
  <sheetData>
    <row r="1" spans="1:12" x14ac:dyDescent="0.2">
      <c r="A1" s="17" t="s">
        <v>415</v>
      </c>
      <c r="B1" s="17" t="s">
        <v>414</v>
      </c>
      <c r="C1" s="17" t="s">
        <v>413</v>
      </c>
      <c r="D1" s="17" t="s">
        <v>412</v>
      </c>
      <c r="E1" s="17" t="s">
        <v>411</v>
      </c>
      <c r="F1" s="17" t="s">
        <v>410</v>
      </c>
      <c r="G1" s="17" t="s">
        <v>409</v>
      </c>
      <c r="H1" s="17" t="s">
        <v>408</v>
      </c>
      <c r="I1" s="17" t="s">
        <v>407</v>
      </c>
      <c r="J1" s="17" t="s">
        <v>406</v>
      </c>
      <c r="K1" s="17" t="s">
        <v>405</v>
      </c>
      <c r="L1" s="17" t="s">
        <v>404</v>
      </c>
    </row>
    <row r="2" spans="1:12" x14ac:dyDescent="0.2">
      <c r="A2" s="16" t="s">
        <v>416</v>
      </c>
      <c r="B2" t="s">
        <v>403</v>
      </c>
      <c r="C2" t="s">
        <v>402</v>
      </c>
      <c r="D2" t="s">
        <v>401</v>
      </c>
      <c r="E2" t="s">
        <v>400</v>
      </c>
      <c r="F2" t="s">
        <v>399</v>
      </c>
      <c r="G2" t="s">
        <v>398</v>
      </c>
      <c r="H2" t="s">
        <v>397</v>
      </c>
      <c r="I2" t="s">
        <v>396</v>
      </c>
      <c r="J2" t="s">
        <v>395</v>
      </c>
      <c r="K2" s="16" t="s">
        <v>394</v>
      </c>
      <c r="L2" s="15"/>
    </row>
    <row r="3" spans="1:12" x14ac:dyDescent="0.2">
      <c r="A3" s="16" t="s">
        <v>417</v>
      </c>
      <c r="B3" t="s">
        <v>296</v>
      </c>
      <c r="C3" t="s">
        <v>393</v>
      </c>
      <c r="D3" t="s">
        <v>392</v>
      </c>
      <c r="E3" t="s">
        <v>391</v>
      </c>
      <c r="F3" t="s">
        <v>253</v>
      </c>
      <c r="G3" t="s">
        <v>272</v>
      </c>
      <c r="H3" t="s">
        <v>390</v>
      </c>
      <c r="I3" t="s">
        <v>289</v>
      </c>
      <c r="J3" t="s">
        <v>389</v>
      </c>
      <c r="K3" s="16" t="s">
        <v>388</v>
      </c>
      <c r="L3" s="15"/>
    </row>
    <row r="4" spans="1:12" x14ac:dyDescent="0.2">
      <c r="A4" s="16" t="s">
        <v>418</v>
      </c>
      <c r="B4" t="s">
        <v>380</v>
      </c>
      <c r="C4" t="s">
        <v>387</v>
      </c>
      <c r="D4" t="s">
        <v>386</v>
      </c>
      <c r="E4" t="s">
        <v>385</v>
      </c>
      <c r="F4" t="s">
        <v>385</v>
      </c>
      <c r="G4" t="s">
        <v>321</v>
      </c>
      <c r="H4" t="s">
        <v>384</v>
      </c>
      <c r="I4" t="s">
        <v>383</v>
      </c>
      <c r="J4" t="s">
        <v>382</v>
      </c>
      <c r="K4" s="16" t="s">
        <v>381</v>
      </c>
      <c r="L4" s="15"/>
    </row>
    <row r="5" spans="1:12" x14ac:dyDescent="0.2">
      <c r="A5" s="16" t="s">
        <v>419</v>
      </c>
      <c r="B5" t="s">
        <v>380</v>
      </c>
      <c r="C5" t="s">
        <v>379</v>
      </c>
      <c r="D5" t="s">
        <v>378</v>
      </c>
      <c r="E5" t="s">
        <v>377</v>
      </c>
      <c r="F5" t="s">
        <v>282</v>
      </c>
      <c r="G5" t="s">
        <v>272</v>
      </c>
      <c r="H5" t="s">
        <v>376</v>
      </c>
      <c r="I5" t="s">
        <v>375</v>
      </c>
      <c r="J5" t="s">
        <v>374</v>
      </c>
      <c r="K5" s="16" t="s">
        <v>373</v>
      </c>
      <c r="L5" s="15"/>
    </row>
    <row r="6" spans="1:12" x14ac:dyDescent="0.2">
      <c r="A6" s="16" t="s">
        <v>420</v>
      </c>
      <c r="B6" t="s">
        <v>218</v>
      </c>
      <c r="C6" t="s">
        <v>372</v>
      </c>
      <c r="D6" t="s">
        <v>371</v>
      </c>
      <c r="E6" t="s">
        <v>370</v>
      </c>
      <c r="F6" t="s">
        <v>369</v>
      </c>
      <c r="G6" t="s">
        <v>291</v>
      </c>
      <c r="H6" t="s">
        <v>368</v>
      </c>
      <c r="I6" t="s">
        <v>367</v>
      </c>
      <c r="J6" t="s">
        <v>366</v>
      </c>
      <c r="K6" s="16" t="s">
        <v>365</v>
      </c>
      <c r="L6" s="15"/>
    </row>
    <row r="7" spans="1:12" x14ac:dyDescent="0.2">
      <c r="A7" s="16" t="s">
        <v>421</v>
      </c>
      <c r="B7" t="s">
        <v>296</v>
      </c>
      <c r="C7" t="s">
        <v>364</v>
      </c>
      <c r="D7" t="s">
        <v>363</v>
      </c>
      <c r="E7" t="s">
        <v>362</v>
      </c>
      <c r="F7" t="s">
        <v>361</v>
      </c>
      <c r="G7" t="s">
        <v>360</v>
      </c>
      <c r="H7" t="s">
        <v>320</v>
      </c>
      <c r="I7" t="s">
        <v>359</v>
      </c>
      <c r="J7" t="s">
        <v>358</v>
      </c>
      <c r="K7" s="16" t="s">
        <v>357</v>
      </c>
      <c r="L7" s="15" t="s">
        <v>356</v>
      </c>
    </row>
    <row r="8" spans="1:12" x14ac:dyDescent="0.2">
      <c r="A8" s="16" t="s">
        <v>422</v>
      </c>
      <c r="B8" t="s">
        <v>345</v>
      </c>
      <c r="C8" t="s">
        <v>355</v>
      </c>
      <c r="D8" t="s">
        <v>354</v>
      </c>
      <c r="E8" t="s">
        <v>353</v>
      </c>
      <c r="F8" t="s">
        <v>352</v>
      </c>
      <c r="G8" t="s">
        <v>351</v>
      </c>
      <c r="H8" t="s">
        <v>350</v>
      </c>
      <c r="I8" t="s">
        <v>349</v>
      </c>
      <c r="J8" t="s">
        <v>348</v>
      </c>
      <c r="K8" s="16" t="s">
        <v>347</v>
      </c>
      <c r="L8" s="15" t="s">
        <v>346</v>
      </c>
    </row>
    <row r="9" spans="1:12" x14ac:dyDescent="0.2">
      <c r="A9" s="16" t="s">
        <v>423</v>
      </c>
      <c r="B9" t="s">
        <v>345</v>
      </c>
      <c r="C9" t="s">
        <v>344</v>
      </c>
      <c r="D9" t="s">
        <v>343</v>
      </c>
      <c r="E9" t="s">
        <v>342</v>
      </c>
      <c r="F9" t="s">
        <v>341</v>
      </c>
      <c r="G9" t="s">
        <v>340</v>
      </c>
      <c r="H9" t="s">
        <v>339</v>
      </c>
      <c r="I9" t="s">
        <v>338</v>
      </c>
      <c r="J9" t="s">
        <v>337</v>
      </c>
      <c r="K9" s="16" t="s">
        <v>336</v>
      </c>
      <c r="L9" s="15"/>
    </row>
    <row r="10" spans="1:12" x14ac:dyDescent="0.2">
      <c r="A10" s="16" t="s">
        <v>424</v>
      </c>
      <c r="B10" t="s">
        <v>335</v>
      </c>
      <c r="C10" t="s">
        <v>334</v>
      </c>
      <c r="D10" t="s">
        <v>333</v>
      </c>
      <c r="E10" t="s">
        <v>332</v>
      </c>
      <c r="F10" t="s">
        <v>331</v>
      </c>
      <c r="G10" t="s">
        <v>272</v>
      </c>
      <c r="H10" t="s">
        <v>330</v>
      </c>
      <c r="I10" t="s">
        <v>329</v>
      </c>
      <c r="J10" t="s">
        <v>328</v>
      </c>
      <c r="K10" s="16" t="s">
        <v>327</v>
      </c>
      <c r="L10" s="15"/>
    </row>
    <row r="11" spans="1:12" x14ac:dyDescent="0.2">
      <c r="A11" s="16" t="s">
        <v>425</v>
      </c>
      <c r="B11" t="s">
        <v>326</v>
      </c>
      <c r="C11" t="s">
        <v>325</v>
      </c>
      <c r="D11" t="s">
        <v>324</v>
      </c>
      <c r="E11" t="s">
        <v>323</v>
      </c>
      <c r="F11" t="s">
        <v>322</v>
      </c>
      <c r="G11" t="s">
        <v>321</v>
      </c>
      <c r="H11" t="s">
        <v>320</v>
      </c>
      <c r="I11" t="s">
        <v>319</v>
      </c>
      <c r="J11" t="s">
        <v>318</v>
      </c>
      <c r="K11" s="16" t="s">
        <v>317</v>
      </c>
      <c r="L11" s="15"/>
    </row>
    <row r="12" spans="1:12" x14ac:dyDescent="0.2">
      <c r="A12" s="16" t="s">
        <v>426</v>
      </c>
      <c r="B12" t="s">
        <v>316</v>
      </c>
      <c r="C12" t="s">
        <v>315</v>
      </c>
      <c r="D12" t="s">
        <v>314</v>
      </c>
      <c r="E12" t="s">
        <v>313</v>
      </c>
      <c r="F12" t="s">
        <v>312</v>
      </c>
      <c r="G12" t="s">
        <v>311</v>
      </c>
      <c r="H12" t="s">
        <v>310</v>
      </c>
      <c r="I12" t="s">
        <v>309</v>
      </c>
      <c r="J12" t="s">
        <v>308</v>
      </c>
      <c r="K12" s="16" t="s">
        <v>307</v>
      </c>
      <c r="L12" s="15"/>
    </row>
    <row r="13" spans="1:12" x14ac:dyDescent="0.2">
      <c r="A13" s="16" t="s">
        <v>427</v>
      </c>
      <c r="B13" t="s">
        <v>306</v>
      </c>
      <c r="C13" t="s">
        <v>305</v>
      </c>
      <c r="D13" t="s">
        <v>304</v>
      </c>
      <c r="E13" t="s">
        <v>303</v>
      </c>
      <c r="F13" t="s">
        <v>302</v>
      </c>
      <c r="G13" t="s">
        <v>272</v>
      </c>
      <c r="H13" t="s">
        <v>301</v>
      </c>
      <c r="I13" t="s">
        <v>300</v>
      </c>
      <c r="J13" t="s">
        <v>299</v>
      </c>
      <c r="K13" s="16" t="s">
        <v>298</v>
      </c>
      <c r="L13" s="15" t="s">
        <v>297</v>
      </c>
    </row>
    <row r="14" spans="1:12" x14ac:dyDescent="0.2">
      <c r="A14" s="16" t="s">
        <v>428</v>
      </c>
      <c r="B14" t="s">
        <v>296</v>
      </c>
      <c r="C14" t="s">
        <v>295</v>
      </c>
      <c r="D14" t="s">
        <v>294</v>
      </c>
      <c r="E14" t="s">
        <v>293</v>
      </c>
      <c r="F14" t="s">
        <v>292</v>
      </c>
      <c r="G14" t="s">
        <v>291</v>
      </c>
      <c r="H14" t="s">
        <v>290</v>
      </c>
      <c r="I14" t="s">
        <v>289</v>
      </c>
      <c r="J14" t="s">
        <v>288</v>
      </c>
      <c r="K14" s="16" t="s">
        <v>287</v>
      </c>
      <c r="L14" s="15"/>
    </row>
    <row r="15" spans="1:12" x14ac:dyDescent="0.2">
      <c r="A15" s="16" t="s">
        <v>429</v>
      </c>
      <c r="B15" t="s">
        <v>286</v>
      </c>
      <c r="C15" t="s">
        <v>285</v>
      </c>
      <c r="D15" t="s">
        <v>284</v>
      </c>
      <c r="E15" t="s">
        <v>283</v>
      </c>
      <c r="F15" t="s">
        <v>282</v>
      </c>
      <c r="G15" t="s">
        <v>272</v>
      </c>
      <c r="H15" t="s">
        <v>281</v>
      </c>
      <c r="I15" t="s">
        <v>280</v>
      </c>
      <c r="J15" t="s">
        <v>279</v>
      </c>
      <c r="K15" s="16" t="s">
        <v>278</v>
      </c>
      <c r="L15" s="15"/>
    </row>
    <row r="16" spans="1:12" x14ac:dyDescent="0.2">
      <c r="A16" s="16" t="s">
        <v>430</v>
      </c>
      <c r="B16" t="s">
        <v>277</v>
      </c>
      <c r="C16" t="s">
        <v>276</v>
      </c>
      <c r="D16" t="s">
        <v>275</v>
      </c>
      <c r="E16" t="s">
        <v>274</v>
      </c>
      <c r="F16" t="s">
        <v>273</v>
      </c>
      <c r="G16" t="s">
        <v>272</v>
      </c>
      <c r="H16" t="s">
        <v>271</v>
      </c>
      <c r="I16" t="s">
        <v>270</v>
      </c>
      <c r="J16" t="s">
        <v>269</v>
      </c>
      <c r="K16" s="16" t="s">
        <v>268</v>
      </c>
      <c r="L16" s="15"/>
    </row>
    <row r="17" spans="1:12" x14ac:dyDescent="0.2">
      <c r="A17" s="16" t="s">
        <v>431</v>
      </c>
      <c r="B17" t="s">
        <v>267</v>
      </c>
      <c r="C17" t="s">
        <v>266</v>
      </c>
      <c r="D17" t="s">
        <v>265</v>
      </c>
      <c r="E17" t="s">
        <v>264</v>
      </c>
      <c r="F17" t="s">
        <v>263</v>
      </c>
      <c r="G17" t="s">
        <v>262</v>
      </c>
      <c r="H17" t="s">
        <v>261</v>
      </c>
      <c r="I17" t="s">
        <v>260</v>
      </c>
      <c r="J17" t="s">
        <v>259</v>
      </c>
      <c r="K17" s="16" t="s">
        <v>258</v>
      </c>
      <c r="L17" s="15"/>
    </row>
    <row r="18" spans="1:12" x14ac:dyDescent="0.2">
      <c r="A18" s="16" t="s">
        <v>432</v>
      </c>
      <c r="B18" t="s">
        <v>257</v>
      </c>
      <c r="C18" t="s">
        <v>256</v>
      </c>
      <c r="D18" t="s">
        <v>255</v>
      </c>
      <c r="E18" t="s">
        <v>254</v>
      </c>
      <c r="F18" t="s">
        <v>253</v>
      </c>
      <c r="G18" t="s">
        <v>252</v>
      </c>
      <c r="H18" t="s">
        <v>251</v>
      </c>
      <c r="I18" t="s">
        <v>250</v>
      </c>
      <c r="J18" t="s">
        <v>249</v>
      </c>
      <c r="K18" s="16" t="s">
        <v>248</v>
      </c>
      <c r="L18" s="15"/>
    </row>
    <row r="19" spans="1:12" x14ac:dyDescent="0.2">
      <c r="A19" s="16" t="s">
        <v>433</v>
      </c>
      <c r="B19" t="s">
        <v>247</v>
      </c>
      <c r="C19" t="s">
        <v>246</v>
      </c>
      <c r="D19" t="s">
        <v>245</v>
      </c>
      <c r="E19" t="s">
        <v>244</v>
      </c>
      <c r="F19" t="s">
        <v>243</v>
      </c>
      <c r="G19" t="s">
        <v>242</v>
      </c>
      <c r="H19" t="s">
        <v>241</v>
      </c>
      <c r="I19" t="s">
        <v>240</v>
      </c>
      <c r="J19" t="s">
        <v>239</v>
      </c>
      <c r="K19" s="16" t="s">
        <v>238</v>
      </c>
      <c r="L19" s="15"/>
    </row>
    <row r="20" spans="1:12" x14ac:dyDescent="0.2">
      <c r="A20" s="16" t="s">
        <v>434</v>
      </c>
      <c r="B20" t="s">
        <v>237</v>
      </c>
      <c r="C20" t="s">
        <v>236</v>
      </c>
      <c r="D20" t="s">
        <v>235</v>
      </c>
      <c r="E20" t="s">
        <v>234</v>
      </c>
      <c r="F20" t="s">
        <v>233</v>
      </c>
      <c r="G20" t="s">
        <v>232</v>
      </c>
      <c r="H20" t="s">
        <v>231</v>
      </c>
      <c r="I20" t="s">
        <v>230</v>
      </c>
      <c r="J20" t="s">
        <v>229</v>
      </c>
      <c r="K20" s="16" t="s">
        <v>228</v>
      </c>
      <c r="L20" s="15"/>
    </row>
    <row r="21" spans="1:12" x14ac:dyDescent="0.2">
      <c r="A21" s="16" t="s">
        <v>435</v>
      </c>
      <c r="B21" t="s">
        <v>218</v>
      </c>
      <c r="C21" t="s">
        <v>227</v>
      </c>
      <c r="D21" t="s">
        <v>226</v>
      </c>
      <c r="E21" t="s">
        <v>225</v>
      </c>
      <c r="F21" t="s">
        <v>224</v>
      </c>
      <c r="G21" t="s">
        <v>223</v>
      </c>
      <c r="H21" t="s">
        <v>222</v>
      </c>
      <c r="I21" t="s">
        <v>221</v>
      </c>
      <c r="J21" t="s">
        <v>220</v>
      </c>
      <c r="K21" s="16" t="s">
        <v>219</v>
      </c>
      <c r="L21" s="15"/>
    </row>
    <row r="22" spans="1:12" x14ac:dyDescent="0.2">
      <c r="A22" s="16" t="s">
        <v>436</v>
      </c>
      <c r="B22" t="s">
        <v>218</v>
      </c>
      <c r="C22" t="s">
        <v>217</v>
      </c>
      <c r="D22" t="s">
        <v>216</v>
      </c>
      <c r="E22" t="s">
        <v>215</v>
      </c>
      <c r="F22" t="s">
        <v>214</v>
      </c>
      <c r="G22" t="s">
        <v>213</v>
      </c>
      <c r="H22" t="s">
        <v>212</v>
      </c>
      <c r="I22" t="s">
        <v>211</v>
      </c>
      <c r="J22" t="s">
        <v>210</v>
      </c>
      <c r="K22" s="16" t="s">
        <v>209</v>
      </c>
      <c r="L22" s="15"/>
    </row>
  </sheetData>
  <hyperlinks>
    <hyperlink ref="K2" r:id="rId1" xr:uid="{7CF3E66C-6E5A-FD48-967F-883829FEA286}"/>
    <hyperlink ref="K3" r:id="rId2" xr:uid="{4A522554-847C-A041-AF3E-A9236C8491E1}"/>
    <hyperlink ref="K4" r:id="rId3" xr:uid="{9525FD6A-D927-A643-8D78-64C799AC63A9}"/>
    <hyperlink ref="K5" r:id="rId4" xr:uid="{0B7D1F5A-0872-7A49-82B7-F767DC957335}"/>
    <hyperlink ref="K6" r:id="rId5" xr:uid="{66DDF7C0-A590-F748-BFA5-89A30F655950}"/>
    <hyperlink ref="K7" r:id="rId6" xr:uid="{F154B8F1-F500-CD4B-9003-96AE50EDA6F7}"/>
    <hyperlink ref="K8" r:id="rId7" xr:uid="{9A883EA1-A967-F64D-8091-D78F39E411A3}"/>
    <hyperlink ref="K9" r:id="rId8" xr:uid="{009B13F9-71C7-9547-A854-6F37D2C07C30}"/>
    <hyperlink ref="K10" r:id="rId9" xr:uid="{3A506666-42E4-914D-A998-1281DE56CE2F}"/>
    <hyperlink ref="K11" r:id="rId10" xr:uid="{DBD8045B-6F71-754F-9137-D1A8C16BF3E5}"/>
    <hyperlink ref="K12" r:id="rId11" xr:uid="{F35072CF-1D5D-D444-BB73-CDE490E67B3C}"/>
    <hyperlink ref="K13" r:id="rId12" xr:uid="{37F9274D-349F-8749-86CC-22E0B182C57A}"/>
    <hyperlink ref="K14" r:id="rId13" xr:uid="{3E252D1D-FD85-CD47-A8E7-928E0DC41E7B}"/>
    <hyperlink ref="K15" r:id="rId14" xr:uid="{C37F92AF-751B-C448-BACE-E76ABA84EE31}"/>
    <hyperlink ref="K16" r:id="rId15" xr:uid="{9008AB54-42B1-A943-AE40-6F6BB7C03CA4}"/>
    <hyperlink ref="K17" r:id="rId16" xr:uid="{6F4C83B1-53A6-AD4C-8E89-5429871CB598}"/>
    <hyperlink ref="K18" r:id="rId17" xr:uid="{D74ECEBE-2D9B-614D-B426-1AA3BBFE6981}"/>
    <hyperlink ref="K19" r:id="rId18" xr:uid="{B1D15484-4DF2-174D-8779-14D5DDBEBD30}"/>
    <hyperlink ref="K20" r:id="rId19" xr:uid="{117A1CC9-6378-6B4B-B77D-B8C7F98A3AFD}"/>
    <hyperlink ref="K21" r:id="rId20" xr:uid="{98343E7A-55A3-644D-8B89-14C027305CC8}"/>
    <hyperlink ref="K22" r:id="rId21" xr:uid="{53294F90-25DD-7443-BD34-FF1A9A05A103}"/>
    <hyperlink ref="A2" r:id="rId22" xr:uid="{A9C4A994-E37A-CD41-91AE-073872EDF480}"/>
    <hyperlink ref="A3" r:id="rId23" xr:uid="{77F99A05-7579-7746-8BA1-16847798F907}"/>
    <hyperlink ref="A4" r:id="rId24" xr:uid="{7FBB61BE-8973-744B-A04B-C2AB28D295EB}"/>
    <hyperlink ref="A5" r:id="rId25" xr:uid="{704B35D9-369D-664E-B53F-D38725C25F24}"/>
    <hyperlink ref="A6" r:id="rId26" xr:uid="{304DF011-6331-6543-A320-4E84073D8D16}"/>
    <hyperlink ref="A7" r:id="rId27" xr:uid="{366E61EF-E250-DD42-9612-2AEF12B19C0A}"/>
    <hyperlink ref="A8" r:id="rId28" xr:uid="{96D992FD-66F5-0A45-8D6A-7068D4760E59}"/>
    <hyperlink ref="A9" r:id="rId29" xr:uid="{EFE0CF94-32A1-9943-B946-DC8362872CEB}"/>
    <hyperlink ref="A10" r:id="rId30" xr:uid="{CDF12DA0-364E-3C48-AB0F-6DD7B81A3342}"/>
    <hyperlink ref="A11" r:id="rId31" xr:uid="{4A5E0C6A-A557-3C4D-BAA8-4F34B47D679F}"/>
    <hyperlink ref="A12" r:id="rId32" xr:uid="{7DDBCCD5-A258-1146-94B0-0014CEF7D143}"/>
    <hyperlink ref="A13" r:id="rId33" xr:uid="{BB8BB4AB-CAD3-EF4E-85F6-8A6ECC301580}"/>
    <hyperlink ref="A14" r:id="rId34" xr:uid="{AB39E898-8D36-5B44-9953-B0D2B0EC5680}"/>
    <hyperlink ref="A15" r:id="rId35" xr:uid="{C28B0311-5F6C-F645-90C5-09A350768DEA}"/>
    <hyperlink ref="A16" r:id="rId36" xr:uid="{8DC342E7-14E8-3C41-89D2-5857D1EF3A90}"/>
    <hyperlink ref="A17" r:id="rId37" xr:uid="{7387692E-41DE-C143-ABE7-D27275155ECC}"/>
    <hyperlink ref="A18" r:id="rId38" xr:uid="{2499E8A7-B98A-364B-9581-3AC0440959F6}"/>
    <hyperlink ref="A19" r:id="rId39" xr:uid="{32AEB744-DE55-494E-B2A3-1528082716FB}"/>
    <hyperlink ref="A20" r:id="rId40" xr:uid="{A25E321A-AF5F-EB4F-B29A-D9E4D2931358}"/>
    <hyperlink ref="A21" r:id="rId41" xr:uid="{33C7F24A-9A37-E544-B764-899F12D6147A}"/>
    <hyperlink ref="A22" r:id="rId42" xr:uid="{B2C23BBA-FC68-E746-8483-564BAE49C6DE}"/>
  </hyperlinks>
  <pageMargins left="0.7" right="0.7" top="0.75" bottom="0.75" header="0.3" footer="0.3"/>
  <tableParts count="1">
    <tablePart r:id="rId4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1FD-A36E-3444-AD32-E4AE76185F4D}">
  <dimension ref="A1:L12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1" max="1" width="45.6640625" customWidth="1"/>
    <col min="2" max="2" width="28.6640625" customWidth="1"/>
    <col min="3" max="3" width="38.6640625" hidden="1" customWidth="1"/>
    <col min="4" max="4" width="56.6640625" hidden="1" customWidth="1"/>
    <col min="5" max="5" width="24.6640625" hidden="1" customWidth="1"/>
    <col min="6" max="6" width="25.1640625" hidden="1" customWidth="1"/>
    <col min="7" max="7" width="24.6640625" hidden="1" customWidth="1"/>
    <col min="8" max="8" width="22.6640625" hidden="1" customWidth="1"/>
    <col min="9" max="9" width="28.6640625" customWidth="1"/>
    <col min="10" max="10" width="40.6640625" hidden="1" customWidth="1"/>
    <col min="11" max="11" width="60.6640625" customWidth="1"/>
    <col min="12" max="12" width="57" customWidth="1"/>
  </cols>
  <sheetData>
    <row r="1" spans="1:12" x14ac:dyDescent="0.2">
      <c r="A1" s="17" t="s">
        <v>415</v>
      </c>
      <c r="B1" s="17" t="s">
        <v>414</v>
      </c>
      <c r="C1" s="17" t="s">
        <v>413</v>
      </c>
      <c r="D1" s="17" t="s">
        <v>412</v>
      </c>
      <c r="E1" s="17" t="s">
        <v>411</v>
      </c>
      <c r="F1" s="17" t="s">
        <v>410</v>
      </c>
      <c r="G1" s="17" t="s">
        <v>409</v>
      </c>
      <c r="H1" s="17" t="s">
        <v>408</v>
      </c>
      <c r="I1" s="17" t="s">
        <v>407</v>
      </c>
      <c r="J1" s="17" t="s">
        <v>406</v>
      </c>
      <c r="K1" s="17" t="s">
        <v>405</v>
      </c>
      <c r="L1" s="17" t="s">
        <v>404</v>
      </c>
    </row>
    <row r="2" spans="1:12" x14ac:dyDescent="0.2">
      <c r="A2" s="16" t="s">
        <v>530</v>
      </c>
      <c r="B2" t="s">
        <v>467</v>
      </c>
      <c r="C2" t="s">
        <v>529</v>
      </c>
      <c r="D2" t="s">
        <v>528</v>
      </c>
      <c r="E2" t="s">
        <v>438</v>
      </c>
      <c r="F2" t="s">
        <v>437</v>
      </c>
      <c r="G2" t="s">
        <v>252</v>
      </c>
      <c r="H2" t="s">
        <v>527</v>
      </c>
      <c r="I2" t="s">
        <v>460</v>
      </c>
      <c r="J2" t="s">
        <v>526</v>
      </c>
      <c r="K2" s="16" t="s">
        <v>525</v>
      </c>
    </row>
    <row r="3" spans="1:12" x14ac:dyDescent="0.2">
      <c r="A3" s="16" t="s">
        <v>524</v>
      </c>
      <c r="B3" t="s">
        <v>467</v>
      </c>
      <c r="C3" t="s">
        <v>523</v>
      </c>
      <c r="D3" t="s">
        <v>522</v>
      </c>
      <c r="E3" t="s">
        <v>438</v>
      </c>
      <c r="F3" t="s">
        <v>521</v>
      </c>
      <c r="G3" t="s">
        <v>454</v>
      </c>
      <c r="H3" t="s">
        <v>520</v>
      </c>
      <c r="I3" t="s">
        <v>460</v>
      </c>
      <c r="J3" t="s">
        <v>519</v>
      </c>
      <c r="K3" s="16" t="s">
        <v>518</v>
      </c>
    </row>
    <row r="4" spans="1:12" x14ac:dyDescent="0.2">
      <c r="A4" s="16" t="s">
        <v>517</v>
      </c>
      <c r="B4" t="s">
        <v>467</v>
      </c>
      <c r="C4" t="s">
        <v>516</v>
      </c>
      <c r="D4" t="s">
        <v>515</v>
      </c>
      <c r="E4" t="s">
        <v>514</v>
      </c>
      <c r="F4" t="s">
        <v>437</v>
      </c>
      <c r="G4" t="s">
        <v>242</v>
      </c>
      <c r="H4" t="s">
        <v>513</v>
      </c>
      <c r="I4" t="s">
        <v>512</v>
      </c>
      <c r="J4" t="s">
        <v>511</v>
      </c>
      <c r="K4" s="16" t="s">
        <v>510</v>
      </c>
    </row>
    <row r="5" spans="1:12" x14ac:dyDescent="0.2">
      <c r="A5" s="16" t="s">
        <v>509</v>
      </c>
      <c r="B5" t="s">
        <v>467</v>
      </c>
      <c r="C5" t="s">
        <v>508</v>
      </c>
      <c r="D5" t="s">
        <v>507</v>
      </c>
      <c r="E5" t="s">
        <v>506</v>
      </c>
      <c r="F5" t="s">
        <v>505</v>
      </c>
      <c r="G5" t="s">
        <v>504</v>
      </c>
      <c r="H5" t="s">
        <v>453</v>
      </c>
      <c r="I5" t="s">
        <v>460</v>
      </c>
      <c r="J5" t="s">
        <v>503</v>
      </c>
      <c r="K5" s="16" t="s">
        <v>502</v>
      </c>
    </row>
    <row r="6" spans="1:12" x14ac:dyDescent="0.2">
      <c r="A6" s="16" t="s">
        <v>501</v>
      </c>
      <c r="B6" t="s">
        <v>439</v>
      </c>
      <c r="C6" t="s">
        <v>500</v>
      </c>
      <c r="D6" t="s">
        <v>499</v>
      </c>
      <c r="E6" t="s">
        <v>498</v>
      </c>
      <c r="F6" t="s">
        <v>497</v>
      </c>
      <c r="G6" t="s">
        <v>496</v>
      </c>
      <c r="H6" t="s">
        <v>495</v>
      </c>
      <c r="I6" t="s">
        <v>494</v>
      </c>
      <c r="J6" t="s">
        <v>493</v>
      </c>
      <c r="K6" s="16" t="s">
        <v>492</v>
      </c>
    </row>
    <row r="7" spans="1:12" x14ac:dyDescent="0.2">
      <c r="A7" s="16" t="s">
        <v>491</v>
      </c>
      <c r="B7" t="s">
        <v>467</v>
      </c>
      <c r="C7" t="s">
        <v>490</v>
      </c>
      <c r="D7" t="s">
        <v>489</v>
      </c>
      <c r="E7" t="s">
        <v>438</v>
      </c>
      <c r="F7" t="s">
        <v>253</v>
      </c>
      <c r="G7" t="s">
        <v>488</v>
      </c>
      <c r="H7" t="s">
        <v>487</v>
      </c>
      <c r="I7" t="s">
        <v>486</v>
      </c>
      <c r="J7" t="s">
        <v>485</v>
      </c>
      <c r="K7" s="16" t="s">
        <v>484</v>
      </c>
    </row>
    <row r="8" spans="1:12" x14ac:dyDescent="0.2">
      <c r="A8" s="16" t="s">
        <v>483</v>
      </c>
      <c r="B8" t="s">
        <v>467</v>
      </c>
      <c r="C8" t="s">
        <v>482</v>
      </c>
      <c r="D8" t="s">
        <v>481</v>
      </c>
      <c r="E8" t="s">
        <v>437</v>
      </c>
      <c r="F8" t="s">
        <v>437</v>
      </c>
      <c r="G8" t="s">
        <v>437</v>
      </c>
      <c r="H8" t="s">
        <v>480</v>
      </c>
      <c r="I8" t="s">
        <v>479</v>
      </c>
      <c r="J8" t="s">
        <v>478</v>
      </c>
      <c r="K8" s="16" t="s">
        <v>477</v>
      </c>
    </row>
    <row r="9" spans="1:12" x14ac:dyDescent="0.2">
      <c r="A9" s="16" t="s">
        <v>476</v>
      </c>
      <c r="B9" t="s">
        <v>467</v>
      </c>
      <c r="C9" t="s">
        <v>475</v>
      </c>
      <c r="D9" t="s">
        <v>474</v>
      </c>
      <c r="E9" t="s">
        <v>437</v>
      </c>
      <c r="F9" t="s">
        <v>473</v>
      </c>
      <c r="G9" t="s">
        <v>252</v>
      </c>
      <c r="H9" t="s">
        <v>472</v>
      </c>
      <c r="I9" t="s">
        <v>471</v>
      </c>
      <c r="J9" t="s">
        <v>470</v>
      </c>
      <c r="K9" s="16" t="s">
        <v>469</v>
      </c>
    </row>
    <row r="10" spans="1:12" x14ac:dyDescent="0.2">
      <c r="A10" s="16" t="s">
        <v>468</v>
      </c>
      <c r="B10" t="s">
        <v>467</v>
      </c>
      <c r="C10" t="s">
        <v>466</v>
      </c>
      <c r="D10" t="s">
        <v>465</v>
      </c>
      <c r="E10" t="s">
        <v>464</v>
      </c>
      <c r="F10" t="s">
        <v>463</v>
      </c>
      <c r="G10" t="s">
        <v>462</v>
      </c>
      <c r="H10" t="s">
        <v>461</v>
      </c>
      <c r="I10" t="s">
        <v>460</v>
      </c>
      <c r="J10" t="s">
        <v>459</v>
      </c>
      <c r="K10" s="16" t="s">
        <v>458</v>
      </c>
    </row>
    <row r="11" spans="1:12" x14ac:dyDescent="0.2">
      <c r="A11" s="16" t="s">
        <v>457</v>
      </c>
      <c r="B11" t="s">
        <v>439</v>
      </c>
      <c r="C11" t="s">
        <v>456</v>
      </c>
      <c r="D11" t="s">
        <v>455</v>
      </c>
      <c r="E11" t="s">
        <v>438</v>
      </c>
      <c r="F11" t="s">
        <v>437</v>
      </c>
      <c r="G11" t="s">
        <v>454</v>
      </c>
      <c r="H11" t="s">
        <v>453</v>
      </c>
      <c r="I11" t="s">
        <v>452</v>
      </c>
      <c r="J11" t="s">
        <v>451</v>
      </c>
      <c r="K11" s="16" t="s">
        <v>450</v>
      </c>
    </row>
    <row r="12" spans="1:12" x14ac:dyDescent="0.2">
      <c r="A12" s="16" t="s">
        <v>449</v>
      </c>
      <c r="B12" t="s">
        <v>448</v>
      </c>
      <c r="C12" t="s">
        <v>447</v>
      </c>
      <c r="D12" t="s">
        <v>446</v>
      </c>
      <c r="E12" t="s">
        <v>438</v>
      </c>
      <c r="F12" t="s">
        <v>445</v>
      </c>
      <c r="G12" t="s">
        <v>444</v>
      </c>
      <c r="H12" t="s">
        <v>443</v>
      </c>
      <c r="I12" t="s">
        <v>442</v>
      </c>
      <c r="J12" t="s">
        <v>441</v>
      </c>
      <c r="K12" s="16" t="s">
        <v>440</v>
      </c>
    </row>
  </sheetData>
  <hyperlinks>
    <hyperlink ref="A2" r:id="rId1" xr:uid="{546E225F-489A-0742-B270-41789FABDCD2}"/>
    <hyperlink ref="K2" r:id="rId2" xr:uid="{1DDB6043-3C4D-4242-9021-F47F4715867F}"/>
    <hyperlink ref="A4" r:id="rId3" xr:uid="{7022C52B-90AB-C54A-A53C-6CC00DCDB72E}"/>
    <hyperlink ref="K4" r:id="rId4" xr:uid="{C0576CC9-01D4-9C4A-8BB6-AC29B5629CEE}"/>
    <hyperlink ref="A5" r:id="rId5" xr:uid="{0137703A-530C-C64C-929F-A47CBEB9F8F1}"/>
    <hyperlink ref="K5" r:id="rId6" xr:uid="{5F1A8851-BEC5-4444-8013-BF735D9EF6CC}"/>
    <hyperlink ref="A6" r:id="rId7" xr:uid="{AD089D1D-4131-0743-AC45-ECA03B1DDAA2}"/>
    <hyperlink ref="K6" r:id="rId8" xr:uid="{69D8835C-88C1-5342-9D63-961019521FC2}"/>
    <hyperlink ref="A7" r:id="rId9" xr:uid="{0FDBEF83-6122-BB42-A101-3337958FE01C}"/>
    <hyperlink ref="K7" r:id="rId10" xr:uid="{571102EB-5F3D-5F45-809E-E58AA4FCB667}"/>
    <hyperlink ref="A8" r:id="rId11" xr:uid="{0ECA5B53-8506-E447-97CE-7C332FD04B68}"/>
    <hyperlink ref="K8" r:id="rId12" xr:uid="{D58507D5-D562-5C43-B7D0-F7FE712F8278}"/>
    <hyperlink ref="A9" r:id="rId13" xr:uid="{033F85D3-2F4A-C146-A14C-0B72BE79610C}"/>
    <hyperlink ref="K9" r:id="rId14" xr:uid="{C9CAD5BF-AD37-ED49-B51B-FBEED8CFF4A2}"/>
    <hyperlink ref="A10" r:id="rId15" xr:uid="{D4D1F769-A50B-F244-B52E-D1188A5F69F6}"/>
    <hyperlink ref="K10" r:id="rId16" xr:uid="{15ED65CC-AB74-7945-A012-C0E1C9CD4B06}"/>
    <hyperlink ref="A11" r:id="rId17" xr:uid="{E4CD0F9B-784B-8E49-9BDA-D60A2454A0AC}"/>
    <hyperlink ref="K11" r:id="rId18" xr:uid="{3B08C01B-1B61-2040-BFDF-0803B67BE385}"/>
    <hyperlink ref="A12" r:id="rId19" xr:uid="{BCCFE4A6-1FB9-DC48-B6F2-EA46DD4F394E}"/>
    <hyperlink ref="K12" r:id="rId20" xr:uid="{5526CC97-911F-2A48-8715-BEDF4C96A7CB}"/>
    <hyperlink ref="K3" r:id="rId21" xr:uid="{73725E83-97D8-C14E-B33A-BD41DD5CB172}"/>
    <hyperlink ref="A3" r:id="rId22" xr:uid="{43B73D97-F4A4-A142-8070-0233B649C286}"/>
  </hyperlinks>
  <pageMargins left="0.7" right="0.7" top="0.75" bottom="0.75" header="0.3" footer="0.3"/>
  <tableParts count="1"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94"/>
  <sheetViews>
    <sheetView topLeftCell="A80" zoomScaleNormal="100" workbookViewId="0">
      <selection activeCell="D94" sqref="D94"/>
    </sheetView>
  </sheetViews>
  <sheetFormatPr baseColWidth="10" defaultColWidth="8.83203125" defaultRowHeight="15" x14ac:dyDescent="0.2"/>
  <cols>
    <col min="1" max="1" width="1.83203125" customWidth="1"/>
    <col min="2" max="2" width="15.6640625" bestFit="1" customWidth="1"/>
    <col min="3" max="3" width="17.6640625" style="6" customWidth="1"/>
    <col min="4" max="4" width="20.6640625" style="6" customWidth="1"/>
    <col min="5" max="5" width="10.1640625" style="8" customWidth="1"/>
    <col min="7" max="7" width="6.6640625" bestFit="1" customWidth="1"/>
    <col min="8" max="8" width="14" bestFit="1" customWidth="1"/>
  </cols>
  <sheetData>
    <row r="2" spans="2:8" x14ac:dyDescent="0.2">
      <c r="B2" t="s">
        <v>200</v>
      </c>
    </row>
    <row r="3" spans="2:8" x14ac:dyDescent="0.2">
      <c r="B3" s="7" t="s">
        <v>0</v>
      </c>
      <c r="C3" s="7" t="s">
        <v>1</v>
      </c>
      <c r="D3" s="7" t="s">
        <v>2</v>
      </c>
      <c r="E3" s="7" t="s">
        <v>3</v>
      </c>
      <c r="G3" t="s">
        <v>201</v>
      </c>
      <c r="H3" s="1" t="s">
        <v>18</v>
      </c>
    </row>
    <row r="4" spans="2:8" x14ac:dyDescent="0.2">
      <c r="B4" s="5" t="s">
        <v>8</v>
      </c>
      <c r="C4" s="6" t="s">
        <v>202</v>
      </c>
      <c r="D4" s="6" t="s">
        <v>202</v>
      </c>
      <c r="E4" s="8" t="s">
        <v>202</v>
      </c>
      <c r="H4" s="2" t="s">
        <v>9</v>
      </c>
    </row>
    <row r="5" spans="2:8" x14ac:dyDescent="0.2">
      <c r="B5" t="s">
        <v>11</v>
      </c>
      <c r="C5" s="6" t="s">
        <v>202</v>
      </c>
      <c r="D5" s="6" t="s">
        <v>202</v>
      </c>
      <c r="E5" s="8" t="s">
        <v>202</v>
      </c>
      <c r="H5" s="3" t="s">
        <v>12</v>
      </c>
    </row>
    <row r="6" spans="2:8" x14ac:dyDescent="0.2">
      <c r="B6" t="s">
        <v>13</v>
      </c>
      <c r="C6" s="6" t="s">
        <v>202</v>
      </c>
      <c r="D6" s="6" t="s">
        <v>202</v>
      </c>
      <c r="E6" s="8" t="s">
        <v>202</v>
      </c>
      <c r="H6" s="4" t="s">
        <v>14</v>
      </c>
    </row>
    <row r="7" spans="2:8" x14ac:dyDescent="0.2">
      <c r="B7" t="s">
        <v>15</v>
      </c>
      <c r="C7" s="6" t="s">
        <v>202</v>
      </c>
      <c r="D7" s="6" t="s">
        <v>202</v>
      </c>
      <c r="E7" s="8" t="s">
        <v>202</v>
      </c>
      <c r="H7" s="9" t="s">
        <v>16</v>
      </c>
    </row>
    <row r="8" spans="2:8" x14ac:dyDescent="0.2">
      <c r="B8" t="s">
        <v>17</v>
      </c>
      <c r="C8" s="6" t="s">
        <v>202</v>
      </c>
      <c r="D8" s="6" t="s">
        <v>202</v>
      </c>
      <c r="E8" s="8" t="s">
        <v>202</v>
      </c>
    </row>
    <row r="9" spans="2:8" x14ac:dyDescent="0.2">
      <c r="B9" t="s">
        <v>19</v>
      </c>
      <c r="C9" s="6" t="s">
        <v>202</v>
      </c>
      <c r="D9" s="6" t="s">
        <v>202</v>
      </c>
      <c r="E9" s="8" t="s">
        <v>202</v>
      </c>
    </row>
    <row r="10" spans="2:8" x14ac:dyDescent="0.2">
      <c r="B10" t="s">
        <v>20</v>
      </c>
      <c r="C10" s="6" t="s">
        <v>202</v>
      </c>
      <c r="D10" s="6" t="s">
        <v>202</v>
      </c>
      <c r="E10" s="8" t="s">
        <v>202</v>
      </c>
    </row>
    <row r="11" spans="2:8" x14ac:dyDescent="0.2">
      <c r="B11" t="s">
        <v>21</v>
      </c>
      <c r="C11" s="6" t="s">
        <v>202</v>
      </c>
      <c r="D11" s="6" t="s">
        <v>202</v>
      </c>
      <c r="E11" s="8" t="s">
        <v>202</v>
      </c>
    </row>
    <row r="12" spans="2:8" x14ac:dyDescent="0.2">
      <c r="B12" t="s">
        <v>22</v>
      </c>
      <c r="C12" s="6" t="s">
        <v>202</v>
      </c>
      <c r="D12" s="6" t="s">
        <v>202</v>
      </c>
      <c r="E12" s="8" t="s">
        <v>202</v>
      </c>
    </row>
    <row r="13" spans="2:8" x14ac:dyDescent="0.2">
      <c r="B13" t="s">
        <v>23</v>
      </c>
      <c r="C13" s="6" t="s">
        <v>203</v>
      </c>
      <c r="D13" s="6" t="s">
        <v>202</v>
      </c>
      <c r="E13" s="8" t="s">
        <v>202</v>
      </c>
    </row>
    <row r="14" spans="2:8" x14ac:dyDescent="0.2">
      <c r="B14" t="s">
        <v>24</v>
      </c>
      <c r="C14" s="6" t="s">
        <v>203</v>
      </c>
      <c r="D14" s="6" t="s">
        <v>202</v>
      </c>
      <c r="E14" s="8" t="s">
        <v>202</v>
      </c>
    </row>
    <row r="15" spans="2:8" x14ac:dyDescent="0.2">
      <c r="B15" t="s">
        <v>25</v>
      </c>
      <c r="C15" s="6" t="s">
        <v>203</v>
      </c>
      <c r="D15" s="6" t="s">
        <v>202</v>
      </c>
      <c r="E15" s="8" t="s">
        <v>202</v>
      </c>
    </row>
    <row r="16" spans="2:8" x14ac:dyDescent="0.2">
      <c r="B16" t="s">
        <v>26</v>
      </c>
      <c r="C16" s="6" t="s">
        <v>203</v>
      </c>
      <c r="D16" s="6" t="s">
        <v>202</v>
      </c>
      <c r="E16" s="8" t="s">
        <v>202</v>
      </c>
    </row>
    <row r="17" spans="2:5" x14ac:dyDescent="0.2">
      <c r="B17" t="s">
        <v>27</v>
      </c>
      <c r="C17" s="6" t="s">
        <v>203</v>
      </c>
      <c r="D17" s="6" t="s">
        <v>202</v>
      </c>
      <c r="E17" s="8" t="s">
        <v>202</v>
      </c>
    </row>
    <row r="18" spans="2:5" x14ac:dyDescent="0.2">
      <c r="B18" t="s">
        <v>28</v>
      </c>
      <c r="C18" s="6" t="s">
        <v>203</v>
      </c>
      <c r="D18" s="6" t="s">
        <v>202</v>
      </c>
      <c r="E18" s="8" t="s">
        <v>202</v>
      </c>
    </row>
    <row r="19" spans="2:5" x14ac:dyDescent="0.2">
      <c r="B19" t="s">
        <v>29</v>
      </c>
      <c r="C19" s="6" t="s">
        <v>203</v>
      </c>
      <c r="D19" s="6" t="s">
        <v>202</v>
      </c>
      <c r="E19" s="8" t="s">
        <v>202</v>
      </c>
    </row>
    <row r="20" spans="2:5" x14ac:dyDescent="0.2">
      <c r="B20" t="s">
        <v>30</v>
      </c>
      <c r="C20" s="6" t="s">
        <v>203</v>
      </c>
      <c r="D20" s="6" t="s">
        <v>202</v>
      </c>
      <c r="E20" s="8" t="s">
        <v>202</v>
      </c>
    </row>
    <row r="21" spans="2:5" x14ac:dyDescent="0.2">
      <c r="B21" t="s">
        <v>31</v>
      </c>
      <c r="C21" s="6" t="s">
        <v>203</v>
      </c>
      <c r="D21" s="6" t="s">
        <v>202</v>
      </c>
      <c r="E21" s="8" t="s">
        <v>202</v>
      </c>
    </row>
    <row r="22" spans="2:5" x14ac:dyDescent="0.2">
      <c r="B22" t="s">
        <v>32</v>
      </c>
      <c r="C22" s="6" t="s">
        <v>202</v>
      </c>
      <c r="D22" s="6" t="s">
        <v>202</v>
      </c>
      <c r="E22" s="8" t="s">
        <v>202</v>
      </c>
    </row>
    <row r="23" spans="2:5" x14ac:dyDescent="0.2">
      <c r="B23" t="s">
        <v>33</v>
      </c>
      <c r="C23" s="6" t="s">
        <v>202</v>
      </c>
      <c r="D23" s="6" t="s">
        <v>202</v>
      </c>
      <c r="E23" s="8" t="s">
        <v>202</v>
      </c>
    </row>
    <row r="24" spans="2:5" x14ac:dyDescent="0.2">
      <c r="B24" t="s">
        <v>34</v>
      </c>
      <c r="C24" s="6" t="s">
        <v>202</v>
      </c>
      <c r="D24" s="6" t="s">
        <v>202</v>
      </c>
      <c r="E24" s="8" t="s">
        <v>202</v>
      </c>
    </row>
    <row r="25" spans="2:5" x14ac:dyDescent="0.2">
      <c r="B25" t="s">
        <v>35</v>
      </c>
      <c r="C25" s="6" t="s">
        <v>203</v>
      </c>
      <c r="D25" s="6" t="s">
        <v>202</v>
      </c>
      <c r="E25" s="8" t="s">
        <v>202</v>
      </c>
    </row>
    <row r="26" spans="2:5" x14ac:dyDescent="0.2">
      <c r="B26" t="s">
        <v>36</v>
      </c>
      <c r="C26" s="6" t="s">
        <v>203</v>
      </c>
      <c r="D26" s="6" t="s">
        <v>202</v>
      </c>
      <c r="E26" s="8" t="s">
        <v>202</v>
      </c>
    </row>
    <row r="27" spans="2:5" x14ac:dyDescent="0.2">
      <c r="B27" t="s">
        <v>37</v>
      </c>
      <c r="C27" s="6" t="s">
        <v>203</v>
      </c>
      <c r="D27" s="6" t="s">
        <v>202</v>
      </c>
      <c r="E27" s="8" t="s">
        <v>203</v>
      </c>
    </row>
    <row r="28" spans="2:5" x14ac:dyDescent="0.2">
      <c r="B28" t="s">
        <v>38</v>
      </c>
      <c r="C28" s="6" t="s">
        <v>203</v>
      </c>
      <c r="D28" s="6" t="s">
        <v>202</v>
      </c>
      <c r="E28" s="8" t="s">
        <v>202</v>
      </c>
    </row>
    <row r="29" spans="2:5" x14ac:dyDescent="0.2">
      <c r="B29" t="s">
        <v>39</v>
      </c>
      <c r="C29" s="6" t="s">
        <v>203</v>
      </c>
      <c r="D29" s="6" t="s">
        <v>202</v>
      </c>
      <c r="E29" s="8" t="s">
        <v>202</v>
      </c>
    </row>
    <row r="30" spans="2:5" x14ac:dyDescent="0.2">
      <c r="B30" t="s">
        <v>40</v>
      </c>
      <c r="C30" s="6" t="s">
        <v>203</v>
      </c>
      <c r="D30" s="6" t="s">
        <v>202</v>
      </c>
      <c r="E30" s="8" t="s">
        <v>202</v>
      </c>
    </row>
    <row r="31" spans="2:5" x14ac:dyDescent="0.2">
      <c r="B31" t="s">
        <v>41</v>
      </c>
      <c r="C31" s="6" t="s">
        <v>203</v>
      </c>
      <c r="D31" s="6" t="s">
        <v>202</v>
      </c>
      <c r="E31" s="8" t="s">
        <v>202</v>
      </c>
    </row>
    <row r="32" spans="2:5" x14ac:dyDescent="0.2">
      <c r="B32" t="s">
        <v>42</v>
      </c>
      <c r="C32" s="6" t="s">
        <v>203</v>
      </c>
      <c r="D32" s="6" t="s">
        <v>202</v>
      </c>
      <c r="E32" s="8" t="s">
        <v>202</v>
      </c>
    </row>
    <row r="33" spans="2:5" x14ac:dyDescent="0.2">
      <c r="B33" t="s">
        <v>43</v>
      </c>
      <c r="C33" s="6" t="s">
        <v>203</v>
      </c>
      <c r="D33" s="6" t="s">
        <v>202</v>
      </c>
      <c r="E33" s="8" t="s">
        <v>202</v>
      </c>
    </row>
    <row r="34" spans="2:5" x14ac:dyDescent="0.2">
      <c r="B34" t="s">
        <v>44</v>
      </c>
      <c r="C34" s="6" t="s">
        <v>203</v>
      </c>
      <c r="D34" s="6" t="s">
        <v>202</v>
      </c>
      <c r="E34" s="8" t="s">
        <v>202</v>
      </c>
    </row>
    <row r="35" spans="2:5" x14ac:dyDescent="0.2">
      <c r="B35" t="s">
        <v>45</v>
      </c>
      <c r="C35" s="6" t="s">
        <v>203</v>
      </c>
      <c r="D35" s="6" t="s">
        <v>202</v>
      </c>
      <c r="E35" s="8" t="s">
        <v>202</v>
      </c>
    </row>
    <row r="36" spans="2:5" x14ac:dyDescent="0.2">
      <c r="B36" t="s">
        <v>46</v>
      </c>
      <c r="C36" s="6" t="s">
        <v>203</v>
      </c>
      <c r="D36" s="6" t="s">
        <v>202</v>
      </c>
      <c r="E36" s="8" t="s">
        <v>202</v>
      </c>
    </row>
    <row r="37" spans="2:5" x14ac:dyDescent="0.2">
      <c r="B37" t="s">
        <v>47</v>
      </c>
      <c r="C37" s="6" t="s">
        <v>202</v>
      </c>
      <c r="D37" s="6" t="s">
        <v>202</v>
      </c>
      <c r="E37" s="8" t="s">
        <v>202</v>
      </c>
    </row>
    <row r="38" spans="2:5" x14ac:dyDescent="0.2">
      <c r="B38" t="s">
        <v>48</v>
      </c>
      <c r="C38" s="6" t="s">
        <v>202</v>
      </c>
      <c r="D38" s="6" t="s">
        <v>202</v>
      </c>
      <c r="E38" s="8" t="s">
        <v>202</v>
      </c>
    </row>
    <row r="39" spans="2:5" x14ac:dyDescent="0.2">
      <c r="B39" t="s">
        <v>49</v>
      </c>
      <c r="C39" s="6" t="s">
        <v>202</v>
      </c>
      <c r="D39" s="6" t="s">
        <v>202</v>
      </c>
      <c r="E39" s="8" t="s">
        <v>202</v>
      </c>
    </row>
    <row r="40" spans="2:5" x14ac:dyDescent="0.2">
      <c r="B40" t="s">
        <v>50</v>
      </c>
      <c r="C40" s="6" t="s">
        <v>202</v>
      </c>
      <c r="D40" s="6" t="s">
        <v>202</v>
      </c>
      <c r="E40" s="8" t="s">
        <v>202</v>
      </c>
    </row>
    <row r="41" spans="2:5" x14ac:dyDescent="0.2">
      <c r="B41" t="s">
        <v>51</v>
      </c>
      <c r="C41" s="6" t="s">
        <v>203</v>
      </c>
      <c r="D41" s="6" t="s">
        <v>202</v>
      </c>
      <c r="E41" s="8" t="s">
        <v>202</v>
      </c>
    </row>
    <row r="42" spans="2:5" x14ac:dyDescent="0.2">
      <c r="B42" t="s">
        <v>52</v>
      </c>
      <c r="C42" s="6" t="s">
        <v>203</v>
      </c>
      <c r="D42" s="6" t="s">
        <v>202</v>
      </c>
      <c r="E42" s="8" t="s">
        <v>202</v>
      </c>
    </row>
    <row r="43" spans="2:5" x14ac:dyDescent="0.2">
      <c r="B43" t="s">
        <v>53</v>
      </c>
      <c r="C43" s="6" t="s">
        <v>203</v>
      </c>
      <c r="D43" s="6" t="s">
        <v>202</v>
      </c>
      <c r="E43" s="8" t="s">
        <v>203</v>
      </c>
    </row>
    <row r="44" spans="2:5" x14ac:dyDescent="0.2">
      <c r="B44" t="s">
        <v>54</v>
      </c>
      <c r="C44" s="6" t="s">
        <v>203</v>
      </c>
      <c r="D44" s="6" t="s">
        <v>202</v>
      </c>
      <c r="E44" s="8" t="s">
        <v>203</v>
      </c>
    </row>
    <row r="45" spans="2:5" x14ac:dyDescent="0.2">
      <c r="B45" t="s">
        <v>55</v>
      </c>
      <c r="C45" s="6" t="s">
        <v>202</v>
      </c>
      <c r="D45" s="6" t="s">
        <v>202</v>
      </c>
      <c r="E45" s="8" t="s">
        <v>202</v>
      </c>
    </row>
    <row r="46" spans="2:5" x14ac:dyDescent="0.2">
      <c r="B46" t="s">
        <v>56</v>
      </c>
      <c r="C46" s="6" t="s">
        <v>202</v>
      </c>
      <c r="D46" s="6" t="s">
        <v>202</v>
      </c>
      <c r="E46" s="8" t="s">
        <v>202</v>
      </c>
    </row>
    <row r="47" spans="2:5" x14ac:dyDescent="0.2">
      <c r="B47" t="s">
        <v>57</v>
      </c>
      <c r="C47" s="6" t="s">
        <v>202</v>
      </c>
      <c r="D47" s="6" t="s">
        <v>202</v>
      </c>
      <c r="E47" s="8" t="s">
        <v>202</v>
      </c>
    </row>
    <row r="48" spans="2:5" x14ac:dyDescent="0.2">
      <c r="B48" t="s">
        <v>58</v>
      </c>
      <c r="C48" s="6" t="s">
        <v>202</v>
      </c>
      <c r="D48" s="6" t="s">
        <v>202</v>
      </c>
      <c r="E48" s="8" t="s">
        <v>202</v>
      </c>
    </row>
    <row r="49" spans="2:5" x14ac:dyDescent="0.2">
      <c r="B49" t="s">
        <v>59</v>
      </c>
      <c r="C49" s="6" t="s">
        <v>202</v>
      </c>
      <c r="D49" s="6" t="s">
        <v>202</v>
      </c>
      <c r="E49" s="8" t="s">
        <v>202</v>
      </c>
    </row>
    <row r="50" spans="2:5" x14ac:dyDescent="0.2">
      <c r="B50" t="s">
        <v>60</v>
      </c>
      <c r="C50" s="6" t="s">
        <v>202</v>
      </c>
      <c r="D50" s="6" t="s">
        <v>202</v>
      </c>
      <c r="E50" s="8" t="s">
        <v>202</v>
      </c>
    </row>
    <row r="51" spans="2:5" x14ac:dyDescent="0.2">
      <c r="B51" t="s">
        <v>61</v>
      </c>
      <c r="C51" s="6" t="s">
        <v>202</v>
      </c>
      <c r="D51" s="6" t="s">
        <v>202</v>
      </c>
      <c r="E51" s="8" t="s">
        <v>202</v>
      </c>
    </row>
    <row r="52" spans="2:5" x14ac:dyDescent="0.2">
      <c r="B52" t="s">
        <v>62</v>
      </c>
      <c r="C52" s="6" t="s">
        <v>202</v>
      </c>
      <c r="D52" s="6" t="s">
        <v>202</v>
      </c>
      <c r="E52" s="8" t="s">
        <v>202</v>
      </c>
    </row>
    <row r="53" spans="2:5" x14ac:dyDescent="0.2">
      <c r="B53" t="s">
        <v>63</v>
      </c>
      <c r="C53" s="6" t="s">
        <v>202</v>
      </c>
      <c r="D53" s="6" t="s">
        <v>202</v>
      </c>
      <c r="E53" s="8" t="s">
        <v>202</v>
      </c>
    </row>
    <row r="54" spans="2:5" x14ac:dyDescent="0.2">
      <c r="B54" t="s">
        <v>64</v>
      </c>
      <c r="C54" s="6" t="s">
        <v>202</v>
      </c>
      <c r="D54" s="6" t="s">
        <v>202</v>
      </c>
      <c r="E54" s="8" t="s">
        <v>202</v>
      </c>
    </row>
    <row r="55" spans="2:5" x14ac:dyDescent="0.2">
      <c r="B55" t="s">
        <v>65</v>
      </c>
      <c r="C55" s="6" t="s">
        <v>202</v>
      </c>
      <c r="D55" s="6" t="s">
        <v>202</v>
      </c>
      <c r="E55" s="8" t="s">
        <v>202</v>
      </c>
    </row>
    <row r="56" spans="2:5" x14ac:dyDescent="0.2">
      <c r="B56" t="s">
        <v>66</v>
      </c>
      <c r="C56" s="6" t="s">
        <v>202</v>
      </c>
      <c r="D56" s="6" t="s">
        <v>202</v>
      </c>
      <c r="E56" s="8" t="s">
        <v>202</v>
      </c>
    </row>
    <row r="57" spans="2:5" x14ac:dyDescent="0.2">
      <c r="B57" t="s">
        <v>67</v>
      </c>
      <c r="C57" s="6" t="s">
        <v>202</v>
      </c>
      <c r="D57" s="6" t="s">
        <v>203</v>
      </c>
      <c r="E57" s="8" t="s">
        <v>202</v>
      </c>
    </row>
    <row r="58" spans="2:5" x14ac:dyDescent="0.2">
      <c r="B58" t="s">
        <v>68</v>
      </c>
      <c r="C58" s="6" t="s">
        <v>202</v>
      </c>
      <c r="D58" s="6" t="s">
        <v>203</v>
      </c>
      <c r="E58" s="8" t="s">
        <v>202</v>
      </c>
    </row>
    <row r="59" spans="2:5" x14ac:dyDescent="0.2">
      <c r="B59" t="s">
        <v>69</v>
      </c>
      <c r="C59" s="6" t="s">
        <v>202</v>
      </c>
      <c r="D59" s="6" t="s">
        <v>203</v>
      </c>
      <c r="E59" s="8" t="s">
        <v>202</v>
      </c>
    </row>
    <row r="60" spans="2:5" x14ac:dyDescent="0.2">
      <c r="B60" t="s">
        <v>70</v>
      </c>
      <c r="C60" s="6" t="s">
        <v>202</v>
      </c>
      <c r="D60" s="6" t="s">
        <v>203</v>
      </c>
      <c r="E60" s="8" t="s">
        <v>202</v>
      </c>
    </row>
    <row r="61" spans="2:5" x14ac:dyDescent="0.2">
      <c r="B61" t="s">
        <v>71</v>
      </c>
      <c r="C61" s="6" t="s">
        <v>202</v>
      </c>
      <c r="D61" s="6" t="s">
        <v>203</v>
      </c>
      <c r="E61" s="8" t="s">
        <v>202</v>
      </c>
    </row>
    <row r="62" spans="2:5" x14ac:dyDescent="0.2">
      <c r="B62" t="s">
        <v>72</v>
      </c>
      <c r="C62" s="6" t="s">
        <v>202</v>
      </c>
      <c r="D62" s="6" t="s">
        <v>203</v>
      </c>
      <c r="E62" s="8" t="s">
        <v>203</v>
      </c>
    </row>
    <row r="63" spans="2:5" x14ac:dyDescent="0.2">
      <c r="B63" t="s">
        <v>73</v>
      </c>
      <c r="C63" s="6" t="s">
        <v>202</v>
      </c>
      <c r="D63" s="6" t="s">
        <v>203</v>
      </c>
      <c r="E63" s="8" t="s">
        <v>203</v>
      </c>
    </row>
    <row r="64" spans="2:5" x14ac:dyDescent="0.2">
      <c r="B64" t="s">
        <v>74</v>
      </c>
      <c r="C64" s="6" t="s">
        <v>203</v>
      </c>
      <c r="D64" s="6" t="s">
        <v>202</v>
      </c>
      <c r="E64" s="8" t="s">
        <v>203</v>
      </c>
    </row>
    <row r="65" spans="2:5" x14ac:dyDescent="0.2">
      <c r="B65" t="s">
        <v>75</v>
      </c>
      <c r="C65" s="6" t="s">
        <v>203</v>
      </c>
      <c r="D65" s="6" t="s">
        <v>202</v>
      </c>
      <c r="E65" s="8" t="s">
        <v>203</v>
      </c>
    </row>
    <row r="66" spans="2:5" x14ac:dyDescent="0.2">
      <c r="B66" t="s">
        <v>76</v>
      </c>
      <c r="C66" s="6" t="s">
        <v>202</v>
      </c>
      <c r="D66" s="6" t="s">
        <v>203</v>
      </c>
      <c r="E66" s="8" t="s">
        <v>202</v>
      </c>
    </row>
    <row r="67" spans="2:5" x14ac:dyDescent="0.2">
      <c r="B67" t="s">
        <v>77</v>
      </c>
      <c r="C67" s="6" t="s">
        <v>202</v>
      </c>
      <c r="D67" s="6" t="s">
        <v>203</v>
      </c>
      <c r="E67" s="8" t="s">
        <v>202</v>
      </c>
    </row>
    <row r="68" spans="2:5" x14ac:dyDescent="0.2">
      <c r="B68" t="s">
        <v>78</v>
      </c>
      <c r="C68" s="6" t="s">
        <v>202</v>
      </c>
      <c r="D68" s="6" t="s">
        <v>203</v>
      </c>
      <c r="E68" s="8" t="s">
        <v>202</v>
      </c>
    </row>
    <row r="69" spans="2:5" x14ac:dyDescent="0.2">
      <c r="B69" t="s">
        <v>79</v>
      </c>
      <c r="C69" s="6" t="s">
        <v>202</v>
      </c>
      <c r="D69" s="6" t="s">
        <v>203</v>
      </c>
      <c r="E69" s="8" t="s">
        <v>203</v>
      </c>
    </row>
    <row r="70" spans="2:5" x14ac:dyDescent="0.2">
      <c r="B70" t="s">
        <v>80</v>
      </c>
      <c r="C70" s="6" t="s">
        <v>202</v>
      </c>
      <c r="D70" s="6" t="s">
        <v>203</v>
      </c>
      <c r="E70" s="8" t="s">
        <v>203</v>
      </c>
    </row>
    <row r="71" spans="2:5" x14ac:dyDescent="0.2">
      <c r="B71" t="s">
        <v>81</v>
      </c>
      <c r="C71" s="6" t="s">
        <v>202</v>
      </c>
      <c r="D71" s="6" t="s">
        <v>203</v>
      </c>
      <c r="E71" s="8" t="s">
        <v>203</v>
      </c>
    </row>
    <row r="72" spans="2:5" x14ac:dyDescent="0.2">
      <c r="B72" t="s">
        <v>82</v>
      </c>
      <c r="C72" s="6" t="s">
        <v>202</v>
      </c>
      <c r="D72" s="6" t="s">
        <v>203</v>
      </c>
      <c r="E72" s="8" t="s">
        <v>203</v>
      </c>
    </row>
    <row r="73" spans="2:5" x14ac:dyDescent="0.2">
      <c r="B73" t="s">
        <v>83</v>
      </c>
      <c r="C73" s="6" t="s">
        <v>203</v>
      </c>
      <c r="D73" s="6" t="s">
        <v>202</v>
      </c>
      <c r="E73" s="8" t="s">
        <v>203</v>
      </c>
    </row>
    <row r="74" spans="2:5" x14ac:dyDescent="0.2">
      <c r="B74" t="s">
        <v>84</v>
      </c>
      <c r="C74" s="6" t="s">
        <v>203</v>
      </c>
      <c r="D74" s="6" t="s">
        <v>202</v>
      </c>
      <c r="E74" s="8" t="s">
        <v>203</v>
      </c>
    </row>
    <row r="75" spans="2:5" x14ac:dyDescent="0.2">
      <c r="B75" t="s">
        <v>85</v>
      </c>
      <c r="C75" s="6" t="s">
        <v>202</v>
      </c>
      <c r="D75" s="6" t="s">
        <v>203</v>
      </c>
      <c r="E75" s="8" t="s">
        <v>203</v>
      </c>
    </row>
    <row r="76" spans="2:5" x14ac:dyDescent="0.2">
      <c r="B76" t="s">
        <v>86</v>
      </c>
      <c r="C76" s="6" t="s">
        <v>202</v>
      </c>
      <c r="D76" s="6" t="s">
        <v>203</v>
      </c>
      <c r="E76" s="8" t="s">
        <v>203</v>
      </c>
    </row>
    <row r="77" spans="2:5" x14ac:dyDescent="0.2">
      <c r="B77" t="s">
        <v>87</v>
      </c>
      <c r="C77" s="6" t="s">
        <v>202</v>
      </c>
      <c r="D77" s="6" t="s">
        <v>203</v>
      </c>
      <c r="E77" s="8" t="s">
        <v>202</v>
      </c>
    </row>
    <row r="78" spans="2:5" x14ac:dyDescent="0.2">
      <c r="B78" t="s">
        <v>88</v>
      </c>
      <c r="C78" s="6" t="s">
        <v>203</v>
      </c>
      <c r="D78" s="6" t="s">
        <v>202</v>
      </c>
      <c r="E78" s="8" t="s">
        <v>203</v>
      </c>
    </row>
    <row r="79" spans="2:5" x14ac:dyDescent="0.2">
      <c r="B79" t="s">
        <v>89</v>
      </c>
      <c r="C79" s="6" t="s">
        <v>203</v>
      </c>
      <c r="D79" s="6" t="s">
        <v>202</v>
      </c>
      <c r="E79" s="8" t="s">
        <v>203</v>
      </c>
    </row>
    <row r="80" spans="2:5" x14ac:dyDescent="0.2">
      <c r="B80" t="s">
        <v>90</v>
      </c>
      <c r="C80" s="6" t="s">
        <v>203</v>
      </c>
      <c r="D80" s="6" t="s">
        <v>202</v>
      </c>
      <c r="E80" s="8" t="s">
        <v>202</v>
      </c>
    </row>
    <row r="81" spans="2:5" x14ac:dyDescent="0.2">
      <c r="B81" t="s">
        <v>91</v>
      </c>
      <c r="C81" s="6" t="s">
        <v>203</v>
      </c>
      <c r="D81" s="6" t="s">
        <v>202</v>
      </c>
      <c r="E81" s="8" t="s">
        <v>202</v>
      </c>
    </row>
    <row r="82" spans="2:5" x14ac:dyDescent="0.2">
      <c r="B82" t="s">
        <v>92</v>
      </c>
      <c r="C82" s="6" t="s">
        <v>203</v>
      </c>
      <c r="D82" s="6" t="s">
        <v>202</v>
      </c>
      <c r="E82" s="8" t="s">
        <v>202</v>
      </c>
    </row>
    <row r="83" spans="2:5" x14ac:dyDescent="0.2">
      <c r="B83" t="s">
        <v>93</v>
      </c>
      <c r="C83" s="6" t="s">
        <v>203</v>
      </c>
      <c r="D83" s="6" t="s">
        <v>202</v>
      </c>
      <c r="E83" s="8" t="s">
        <v>202</v>
      </c>
    </row>
    <row r="84" spans="2:5" x14ac:dyDescent="0.2">
      <c r="B84" t="s">
        <v>94</v>
      </c>
      <c r="C84" s="6" t="s">
        <v>203</v>
      </c>
      <c r="D84" s="6" t="s">
        <v>202</v>
      </c>
      <c r="E84" s="8" t="s">
        <v>202</v>
      </c>
    </row>
    <row r="85" spans="2:5" x14ac:dyDescent="0.2">
      <c r="B85" t="s">
        <v>95</v>
      </c>
      <c r="C85" s="6" t="s">
        <v>203</v>
      </c>
      <c r="D85" s="6" t="s">
        <v>202</v>
      </c>
      <c r="E85" s="8" t="s">
        <v>202</v>
      </c>
    </row>
    <row r="86" spans="2:5" x14ac:dyDescent="0.2">
      <c r="B86" t="s">
        <v>96</v>
      </c>
      <c r="C86" s="6" t="s">
        <v>203</v>
      </c>
      <c r="D86" s="6" t="s">
        <v>202</v>
      </c>
      <c r="E86" s="8" t="s">
        <v>203</v>
      </c>
    </row>
    <row r="87" spans="2:5" x14ac:dyDescent="0.2">
      <c r="B87" t="s">
        <v>97</v>
      </c>
      <c r="C87" s="6" t="s">
        <v>203</v>
      </c>
      <c r="D87" s="6" t="s">
        <v>202</v>
      </c>
      <c r="E87" s="8" t="s">
        <v>202</v>
      </c>
    </row>
    <row r="88" spans="2:5" x14ac:dyDescent="0.2">
      <c r="B88" t="s">
        <v>98</v>
      </c>
      <c r="C88" s="6" t="s">
        <v>203</v>
      </c>
      <c r="D88" s="6" t="s">
        <v>202</v>
      </c>
      <c r="E88" s="8" t="s">
        <v>202</v>
      </c>
    </row>
    <row r="89" spans="2:5" x14ac:dyDescent="0.2">
      <c r="B89" t="s">
        <v>99</v>
      </c>
      <c r="C89" s="6" t="s">
        <v>203</v>
      </c>
      <c r="D89" s="6" t="s">
        <v>202</v>
      </c>
      <c r="E89" s="8" t="s">
        <v>202</v>
      </c>
    </row>
    <row r="90" spans="2:5" x14ac:dyDescent="0.2">
      <c r="B90" t="s">
        <v>100</v>
      </c>
      <c r="C90" s="6" t="s">
        <v>203</v>
      </c>
      <c r="D90" s="6" t="s">
        <v>202</v>
      </c>
      <c r="E90" s="8" t="s">
        <v>202</v>
      </c>
    </row>
    <row r="91" spans="2:5" x14ac:dyDescent="0.2">
      <c r="B91" t="s">
        <v>101</v>
      </c>
      <c r="C91" s="6" t="s">
        <v>203</v>
      </c>
      <c r="D91" s="6" t="s">
        <v>202</v>
      </c>
      <c r="E91" s="8" t="s">
        <v>202</v>
      </c>
    </row>
    <row r="92" spans="2:5" x14ac:dyDescent="0.2">
      <c r="B92" t="s">
        <v>102</v>
      </c>
      <c r="C92" s="6" t="s">
        <v>203</v>
      </c>
      <c r="D92" s="6" t="s">
        <v>202</v>
      </c>
      <c r="E92" s="8" t="s">
        <v>202</v>
      </c>
    </row>
    <row r="93" spans="2:5" x14ac:dyDescent="0.2">
      <c r="B93" t="s">
        <v>204</v>
      </c>
      <c r="C93" s="6" t="s">
        <v>202</v>
      </c>
      <c r="D93" s="6" t="s">
        <v>203</v>
      </c>
      <c r="E93" s="8" t="s">
        <v>203</v>
      </c>
    </row>
    <row r="94" spans="2:5" x14ac:dyDescent="0.2">
      <c r="B94" t="s">
        <v>205</v>
      </c>
      <c r="C94" s="6" t="s">
        <v>202</v>
      </c>
      <c r="D94" s="6" t="s">
        <v>203</v>
      </c>
      <c r="E94" s="8" t="s">
        <v>203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93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.83203125" customWidth="1"/>
    <col min="2" max="2" width="17.33203125" bestFit="1" customWidth="1"/>
    <col min="3" max="3" width="17.6640625" style="6" customWidth="1"/>
    <col min="4" max="4" width="20.6640625" style="6" customWidth="1"/>
    <col min="5" max="5" width="10.1640625" style="6" customWidth="1"/>
    <col min="9" max="9" width="6.6640625" bestFit="1" customWidth="1"/>
    <col min="10" max="10" width="14" bestFit="1" customWidth="1"/>
  </cols>
  <sheetData>
    <row r="2" spans="2:10" x14ac:dyDescent="0.2">
      <c r="B2" t="s">
        <v>200</v>
      </c>
    </row>
    <row r="3" spans="2:10" x14ac:dyDescent="0.2">
      <c r="B3" s="7" t="s">
        <v>0</v>
      </c>
      <c r="C3" s="7" t="s">
        <v>1</v>
      </c>
      <c r="D3" s="7" t="s">
        <v>2</v>
      </c>
      <c r="E3" s="7" t="s">
        <v>3</v>
      </c>
      <c r="F3" s="5"/>
      <c r="G3" s="5"/>
      <c r="I3" t="s">
        <v>201</v>
      </c>
      <c r="J3" s="1" t="s">
        <v>18</v>
      </c>
    </row>
    <row r="4" spans="2:10" x14ac:dyDescent="0.2">
      <c r="B4" s="5" t="s">
        <v>103</v>
      </c>
      <c r="C4" s="6" t="s">
        <v>202</v>
      </c>
      <c r="D4" s="6" t="s">
        <v>202</v>
      </c>
      <c r="E4" s="6" t="s">
        <v>202</v>
      </c>
      <c r="J4" s="2" t="s">
        <v>9</v>
      </c>
    </row>
    <row r="5" spans="2:10" x14ac:dyDescent="0.2">
      <c r="B5" t="s">
        <v>105</v>
      </c>
      <c r="C5" s="6" t="s">
        <v>202</v>
      </c>
      <c r="D5" s="6" t="s">
        <v>202</v>
      </c>
      <c r="E5" s="6" t="s">
        <v>202</v>
      </c>
      <c r="J5" s="3" t="s">
        <v>12</v>
      </c>
    </row>
    <row r="6" spans="2:10" x14ac:dyDescent="0.2">
      <c r="B6" t="s">
        <v>106</v>
      </c>
      <c r="C6" s="6" t="s">
        <v>202</v>
      </c>
      <c r="D6" s="6" t="s">
        <v>202</v>
      </c>
      <c r="E6" s="6" t="s">
        <v>202</v>
      </c>
      <c r="J6" s="4" t="s">
        <v>14</v>
      </c>
    </row>
    <row r="7" spans="2:10" x14ac:dyDescent="0.2">
      <c r="B7" t="s">
        <v>107</v>
      </c>
      <c r="C7" s="6" t="s">
        <v>202</v>
      </c>
      <c r="D7" s="6" t="s">
        <v>202</v>
      </c>
      <c r="E7" s="6" t="s">
        <v>202</v>
      </c>
    </row>
    <row r="8" spans="2:10" x14ac:dyDescent="0.2">
      <c r="B8" t="s">
        <v>108</v>
      </c>
      <c r="C8" s="6" t="s">
        <v>202</v>
      </c>
      <c r="D8" s="6" t="s">
        <v>203</v>
      </c>
      <c r="E8" s="6" t="s">
        <v>202</v>
      </c>
    </row>
    <row r="9" spans="2:10" x14ac:dyDescent="0.2">
      <c r="B9" t="s">
        <v>109</v>
      </c>
      <c r="C9" s="6" t="s">
        <v>202</v>
      </c>
      <c r="D9" s="6" t="s">
        <v>203</v>
      </c>
      <c r="E9" s="6" t="s">
        <v>202</v>
      </c>
    </row>
    <row r="10" spans="2:10" x14ac:dyDescent="0.2">
      <c r="B10" t="s">
        <v>19</v>
      </c>
      <c r="C10" s="6" t="s">
        <v>202</v>
      </c>
      <c r="D10" s="6" t="s">
        <v>203</v>
      </c>
      <c r="E10" s="6" t="s">
        <v>202</v>
      </c>
    </row>
    <row r="11" spans="2:10" x14ac:dyDescent="0.2">
      <c r="B11" t="s">
        <v>110</v>
      </c>
      <c r="C11" s="6" t="s">
        <v>202</v>
      </c>
      <c r="D11" s="6" t="s">
        <v>203</v>
      </c>
      <c r="E11" s="6" t="s">
        <v>202</v>
      </c>
    </row>
    <row r="12" spans="2:10" x14ac:dyDescent="0.2">
      <c r="B12" t="s">
        <v>111</v>
      </c>
      <c r="C12" s="6" t="s">
        <v>203</v>
      </c>
      <c r="D12" s="6" t="s">
        <v>203</v>
      </c>
      <c r="E12" s="6" t="s">
        <v>202</v>
      </c>
    </row>
    <row r="13" spans="2:10" x14ac:dyDescent="0.2">
      <c r="B13" t="s">
        <v>112</v>
      </c>
      <c r="C13" s="6" t="s">
        <v>203</v>
      </c>
      <c r="D13" s="6" t="s">
        <v>203</v>
      </c>
      <c r="E13" s="6" t="s">
        <v>202</v>
      </c>
    </row>
    <row r="14" spans="2:10" x14ac:dyDescent="0.2">
      <c r="B14" t="s">
        <v>113</v>
      </c>
      <c r="C14" s="6" t="s">
        <v>203</v>
      </c>
      <c r="D14" s="6" t="s">
        <v>203</v>
      </c>
      <c r="E14" s="6" t="s">
        <v>202</v>
      </c>
    </row>
    <row r="15" spans="2:10" x14ac:dyDescent="0.2">
      <c r="B15" t="s">
        <v>114</v>
      </c>
      <c r="C15" s="6" t="s">
        <v>203</v>
      </c>
      <c r="D15" s="6" t="s">
        <v>203</v>
      </c>
      <c r="E15" s="6" t="s">
        <v>202</v>
      </c>
    </row>
    <row r="16" spans="2:10" x14ac:dyDescent="0.2">
      <c r="B16" t="s">
        <v>115</v>
      </c>
      <c r="C16" s="6" t="s">
        <v>202</v>
      </c>
      <c r="D16" s="6" t="s">
        <v>203</v>
      </c>
      <c r="E16" s="6" t="s">
        <v>202</v>
      </c>
    </row>
    <row r="17" spans="2:5" x14ac:dyDescent="0.2">
      <c r="B17" t="s">
        <v>116</v>
      </c>
      <c r="C17" s="6" t="s">
        <v>202</v>
      </c>
      <c r="D17" s="6" t="s">
        <v>203</v>
      </c>
      <c r="E17" s="6" t="s">
        <v>202</v>
      </c>
    </row>
    <row r="18" spans="2:5" x14ac:dyDescent="0.2">
      <c r="B18" t="s">
        <v>117</v>
      </c>
      <c r="C18" s="6" t="s">
        <v>202</v>
      </c>
      <c r="D18" s="6" t="s">
        <v>203</v>
      </c>
      <c r="E18" s="6" t="s">
        <v>202</v>
      </c>
    </row>
    <row r="19" spans="2:5" x14ac:dyDescent="0.2">
      <c r="B19" t="s">
        <v>118</v>
      </c>
      <c r="C19" s="6" t="s">
        <v>202</v>
      </c>
      <c r="D19" s="6" t="s">
        <v>203</v>
      </c>
      <c r="E19" s="6" t="s">
        <v>202</v>
      </c>
    </row>
    <row r="20" spans="2:5" x14ac:dyDescent="0.2">
      <c r="B20" t="s">
        <v>119</v>
      </c>
      <c r="C20" s="6" t="s">
        <v>202</v>
      </c>
      <c r="D20" s="6" t="s">
        <v>203</v>
      </c>
      <c r="E20" s="6" t="s">
        <v>202</v>
      </c>
    </row>
    <row r="21" spans="2:5" x14ac:dyDescent="0.2">
      <c r="B21" t="s">
        <v>120</v>
      </c>
      <c r="C21" s="6" t="s">
        <v>202</v>
      </c>
      <c r="D21" s="6" t="s">
        <v>203</v>
      </c>
      <c r="E21" s="6" t="s">
        <v>202</v>
      </c>
    </row>
    <row r="22" spans="2:5" x14ac:dyDescent="0.2">
      <c r="B22" t="s">
        <v>121</v>
      </c>
      <c r="C22" s="6" t="s">
        <v>202</v>
      </c>
      <c r="D22" s="6" t="s">
        <v>203</v>
      </c>
      <c r="E22" s="6" t="s">
        <v>202</v>
      </c>
    </row>
    <row r="23" spans="2:5" x14ac:dyDescent="0.2">
      <c r="B23" t="s">
        <v>122</v>
      </c>
      <c r="C23" s="6" t="s">
        <v>202</v>
      </c>
      <c r="D23" s="6" t="s">
        <v>203</v>
      </c>
      <c r="E23" s="6" t="s">
        <v>202</v>
      </c>
    </row>
    <row r="24" spans="2:5" x14ac:dyDescent="0.2">
      <c r="B24" t="s">
        <v>123</v>
      </c>
      <c r="C24" s="6" t="s">
        <v>202</v>
      </c>
      <c r="D24" s="6" t="s">
        <v>203</v>
      </c>
      <c r="E24" s="6" t="s">
        <v>202</v>
      </c>
    </row>
    <row r="25" spans="2:5" x14ac:dyDescent="0.2">
      <c r="B25" t="s">
        <v>124</v>
      </c>
      <c r="C25" s="6" t="s">
        <v>202</v>
      </c>
      <c r="D25" s="6" t="s">
        <v>203</v>
      </c>
      <c r="E25" s="6" t="s">
        <v>202</v>
      </c>
    </row>
    <row r="26" spans="2:5" x14ac:dyDescent="0.2">
      <c r="B26" t="s">
        <v>125</v>
      </c>
      <c r="C26" s="6" t="s">
        <v>202</v>
      </c>
      <c r="D26" s="6" t="s">
        <v>203</v>
      </c>
      <c r="E26" s="6" t="s">
        <v>202</v>
      </c>
    </row>
    <row r="27" spans="2:5" x14ac:dyDescent="0.2">
      <c r="B27" t="s">
        <v>126</v>
      </c>
      <c r="C27" s="6" t="s">
        <v>202</v>
      </c>
      <c r="D27" s="6" t="s">
        <v>203</v>
      </c>
      <c r="E27" s="6" t="s">
        <v>202</v>
      </c>
    </row>
    <row r="28" spans="2:5" x14ac:dyDescent="0.2">
      <c r="B28" t="s">
        <v>127</v>
      </c>
      <c r="C28" s="6" t="s">
        <v>202</v>
      </c>
      <c r="D28" s="6" t="s">
        <v>203</v>
      </c>
      <c r="E28" s="6" t="s">
        <v>202</v>
      </c>
    </row>
    <row r="29" spans="2:5" x14ac:dyDescent="0.2">
      <c r="B29" t="s">
        <v>128</v>
      </c>
      <c r="C29" s="6" t="s">
        <v>202</v>
      </c>
      <c r="D29" s="6" t="s">
        <v>203</v>
      </c>
      <c r="E29" s="6" t="s">
        <v>202</v>
      </c>
    </row>
    <row r="30" spans="2:5" x14ac:dyDescent="0.2">
      <c r="B30" t="s">
        <v>129</v>
      </c>
      <c r="C30" s="6" t="s">
        <v>202</v>
      </c>
      <c r="D30" s="6" t="s">
        <v>203</v>
      </c>
      <c r="E30" s="6" t="s">
        <v>202</v>
      </c>
    </row>
    <row r="31" spans="2:5" x14ac:dyDescent="0.2">
      <c r="B31" t="s">
        <v>130</v>
      </c>
      <c r="C31" s="6" t="s">
        <v>202</v>
      </c>
      <c r="D31" s="6" t="s">
        <v>203</v>
      </c>
      <c r="E31" s="6" t="s">
        <v>202</v>
      </c>
    </row>
    <row r="32" spans="2:5" x14ac:dyDescent="0.2">
      <c r="B32" t="s">
        <v>131</v>
      </c>
      <c r="C32" s="6" t="s">
        <v>202</v>
      </c>
      <c r="D32" s="6" t="s">
        <v>203</v>
      </c>
      <c r="E32" s="6" t="s">
        <v>202</v>
      </c>
    </row>
    <row r="33" spans="2:5" x14ac:dyDescent="0.2">
      <c r="B33" t="s">
        <v>132</v>
      </c>
      <c r="C33" s="6" t="s">
        <v>202</v>
      </c>
      <c r="D33" s="6" t="s">
        <v>203</v>
      </c>
      <c r="E33" s="6" t="s">
        <v>202</v>
      </c>
    </row>
    <row r="34" spans="2:5" x14ac:dyDescent="0.2">
      <c r="B34" t="s">
        <v>133</v>
      </c>
      <c r="C34" s="6" t="s">
        <v>202</v>
      </c>
      <c r="D34" s="6" t="s">
        <v>203</v>
      </c>
      <c r="E34" s="6" t="s">
        <v>202</v>
      </c>
    </row>
    <row r="35" spans="2:5" x14ac:dyDescent="0.2">
      <c r="B35" t="s">
        <v>134</v>
      </c>
      <c r="C35" s="6" t="s">
        <v>202</v>
      </c>
      <c r="D35" s="6" t="s">
        <v>203</v>
      </c>
      <c r="E35" s="6" t="s">
        <v>202</v>
      </c>
    </row>
    <row r="36" spans="2:5" x14ac:dyDescent="0.2">
      <c r="B36" t="s">
        <v>135</v>
      </c>
      <c r="C36" s="6" t="s">
        <v>202</v>
      </c>
      <c r="D36" s="6" t="s">
        <v>203</v>
      </c>
      <c r="E36" s="6" t="s">
        <v>202</v>
      </c>
    </row>
    <row r="37" spans="2:5" x14ac:dyDescent="0.2">
      <c r="B37" t="s">
        <v>136</v>
      </c>
      <c r="C37" s="6" t="s">
        <v>202</v>
      </c>
      <c r="D37" s="6" t="s">
        <v>203</v>
      </c>
      <c r="E37" s="6" t="s">
        <v>202</v>
      </c>
    </row>
    <row r="38" spans="2:5" x14ac:dyDescent="0.2">
      <c r="B38" t="s">
        <v>44</v>
      </c>
      <c r="C38" s="6" t="s">
        <v>202</v>
      </c>
      <c r="D38" s="6" t="s">
        <v>203</v>
      </c>
      <c r="E38" s="6" t="s">
        <v>202</v>
      </c>
    </row>
    <row r="39" spans="2:5" x14ac:dyDescent="0.2">
      <c r="B39" t="s">
        <v>137</v>
      </c>
      <c r="C39" s="6" t="s">
        <v>202</v>
      </c>
      <c r="D39" s="6" t="s">
        <v>203</v>
      </c>
      <c r="E39" s="6" t="s">
        <v>202</v>
      </c>
    </row>
    <row r="40" spans="2:5" x14ac:dyDescent="0.2">
      <c r="B40" t="s">
        <v>138</v>
      </c>
      <c r="C40" s="6" t="s">
        <v>202</v>
      </c>
      <c r="D40" s="6" t="s">
        <v>203</v>
      </c>
      <c r="E40" s="6" t="s">
        <v>202</v>
      </c>
    </row>
    <row r="41" spans="2:5" x14ac:dyDescent="0.2">
      <c r="B41" t="s">
        <v>139</v>
      </c>
      <c r="C41" s="6" t="s">
        <v>202</v>
      </c>
      <c r="D41" s="6" t="s">
        <v>203</v>
      </c>
      <c r="E41" s="6" t="s">
        <v>202</v>
      </c>
    </row>
    <row r="42" spans="2:5" x14ac:dyDescent="0.2">
      <c r="B42" t="s">
        <v>140</v>
      </c>
      <c r="C42" s="6" t="s">
        <v>202</v>
      </c>
      <c r="D42" s="6" t="s">
        <v>203</v>
      </c>
      <c r="E42" s="6" t="s">
        <v>202</v>
      </c>
    </row>
    <row r="43" spans="2:5" x14ac:dyDescent="0.2">
      <c r="B43" t="s">
        <v>141</v>
      </c>
      <c r="C43" s="6" t="s">
        <v>202</v>
      </c>
      <c r="D43" s="6" t="s">
        <v>203</v>
      </c>
      <c r="E43" s="6" t="s">
        <v>202</v>
      </c>
    </row>
    <row r="44" spans="2:5" x14ac:dyDescent="0.2">
      <c r="B44" t="s">
        <v>142</v>
      </c>
      <c r="C44" s="6" t="s">
        <v>202</v>
      </c>
      <c r="D44" s="6" t="s">
        <v>203</v>
      </c>
      <c r="E44" s="6" t="s">
        <v>202</v>
      </c>
    </row>
    <row r="45" spans="2:5" x14ac:dyDescent="0.2">
      <c r="B45" t="s">
        <v>143</v>
      </c>
      <c r="C45" s="6" t="s">
        <v>202</v>
      </c>
      <c r="D45" s="6" t="s">
        <v>203</v>
      </c>
      <c r="E45" s="6" t="s">
        <v>202</v>
      </c>
    </row>
    <row r="46" spans="2:5" x14ac:dyDescent="0.2">
      <c r="B46" t="s">
        <v>144</v>
      </c>
      <c r="C46" s="6" t="s">
        <v>202</v>
      </c>
      <c r="D46" s="6" t="s">
        <v>203</v>
      </c>
      <c r="E46" s="6" t="s">
        <v>202</v>
      </c>
    </row>
    <row r="47" spans="2:5" x14ac:dyDescent="0.2">
      <c r="B47" t="s">
        <v>145</v>
      </c>
      <c r="C47" s="6" t="s">
        <v>202</v>
      </c>
      <c r="D47" s="6" t="s">
        <v>203</v>
      </c>
      <c r="E47" s="6" t="s">
        <v>202</v>
      </c>
    </row>
    <row r="48" spans="2:5" x14ac:dyDescent="0.2">
      <c r="B48" t="s">
        <v>146</v>
      </c>
      <c r="C48" s="6" t="s">
        <v>202</v>
      </c>
      <c r="D48" s="6" t="s">
        <v>203</v>
      </c>
      <c r="E48" s="6" t="s">
        <v>202</v>
      </c>
    </row>
    <row r="49" spans="2:5" x14ac:dyDescent="0.2">
      <c r="B49" t="s">
        <v>147</v>
      </c>
      <c r="C49" s="6" t="s">
        <v>202</v>
      </c>
      <c r="D49" s="6" t="s">
        <v>203</v>
      </c>
      <c r="E49" s="6" t="s">
        <v>202</v>
      </c>
    </row>
    <row r="50" spans="2:5" x14ac:dyDescent="0.2">
      <c r="B50" t="s">
        <v>148</v>
      </c>
      <c r="C50" s="6" t="s">
        <v>202</v>
      </c>
      <c r="D50" s="6" t="s">
        <v>203</v>
      </c>
      <c r="E50" s="6" t="s">
        <v>202</v>
      </c>
    </row>
    <row r="51" spans="2:5" x14ac:dyDescent="0.2">
      <c r="B51" t="s">
        <v>149</v>
      </c>
      <c r="C51" s="6" t="s">
        <v>202</v>
      </c>
      <c r="D51" s="6" t="s">
        <v>203</v>
      </c>
      <c r="E51" s="6" t="s">
        <v>202</v>
      </c>
    </row>
    <row r="52" spans="2:5" x14ac:dyDescent="0.2">
      <c r="B52" t="s">
        <v>150</v>
      </c>
      <c r="C52" s="6" t="s">
        <v>202</v>
      </c>
      <c r="D52" s="6" t="s">
        <v>203</v>
      </c>
      <c r="E52" s="6" t="s">
        <v>202</v>
      </c>
    </row>
    <row r="53" spans="2:5" x14ac:dyDescent="0.2">
      <c r="B53" t="s">
        <v>151</v>
      </c>
      <c r="C53" s="6" t="s">
        <v>203</v>
      </c>
      <c r="D53" s="6" t="s">
        <v>203</v>
      </c>
      <c r="E53" s="6" t="s">
        <v>202</v>
      </c>
    </row>
    <row r="54" spans="2:5" x14ac:dyDescent="0.2">
      <c r="B54" t="s">
        <v>152</v>
      </c>
      <c r="C54" s="6" t="s">
        <v>203</v>
      </c>
      <c r="D54" s="6" t="s">
        <v>203</v>
      </c>
      <c r="E54" s="6" t="s">
        <v>202</v>
      </c>
    </row>
    <row r="55" spans="2:5" x14ac:dyDescent="0.2">
      <c r="B55" t="s">
        <v>153</v>
      </c>
      <c r="C55" s="6" t="s">
        <v>203</v>
      </c>
      <c r="D55" s="6" t="s">
        <v>203</v>
      </c>
      <c r="E55" s="6" t="s">
        <v>202</v>
      </c>
    </row>
    <row r="56" spans="2:5" x14ac:dyDescent="0.2">
      <c r="B56" t="s">
        <v>154</v>
      </c>
      <c r="C56" s="6" t="s">
        <v>203</v>
      </c>
      <c r="D56" s="6" t="s">
        <v>203</v>
      </c>
      <c r="E56" s="6" t="s">
        <v>202</v>
      </c>
    </row>
    <row r="57" spans="2:5" x14ac:dyDescent="0.2">
      <c r="B57" t="s">
        <v>155</v>
      </c>
      <c r="C57" s="6" t="s">
        <v>202</v>
      </c>
      <c r="D57" s="6" t="s">
        <v>203</v>
      </c>
      <c r="E57" s="6" t="s">
        <v>202</v>
      </c>
    </row>
    <row r="58" spans="2:5" x14ac:dyDescent="0.2">
      <c r="B58" t="s">
        <v>156</v>
      </c>
      <c r="C58" s="6" t="s">
        <v>202</v>
      </c>
      <c r="D58" s="6" t="s">
        <v>203</v>
      </c>
      <c r="E58" s="6" t="s">
        <v>202</v>
      </c>
    </row>
    <row r="59" spans="2:5" x14ac:dyDescent="0.2">
      <c r="B59" t="s">
        <v>157</v>
      </c>
      <c r="C59" s="6" t="s">
        <v>202</v>
      </c>
      <c r="D59" s="6" t="s">
        <v>203</v>
      </c>
      <c r="E59" s="6" t="s">
        <v>202</v>
      </c>
    </row>
    <row r="60" spans="2:5" x14ac:dyDescent="0.2">
      <c r="B60" t="s">
        <v>158</v>
      </c>
      <c r="C60" s="6" t="s">
        <v>202</v>
      </c>
      <c r="D60" s="6" t="s">
        <v>203</v>
      </c>
      <c r="E60" s="6" t="s">
        <v>202</v>
      </c>
    </row>
    <row r="61" spans="2:5" x14ac:dyDescent="0.2">
      <c r="B61" t="s">
        <v>159</v>
      </c>
      <c r="C61" s="6" t="s">
        <v>202</v>
      </c>
      <c r="D61" s="6" t="s">
        <v>203</v>
      </c>
      <c r="E61" s="6" t="s">
        <v>202</v>
      </c>
    </row>
    <row r="62" spans="2:5" x14ac:dyDescent="0.2">
      <c r="B62" t="s">
        <v>160</v>
      </c>
      <c r="C62" s="6" t="s">
        <v>202</v>
      </c>
      <c r="D62" s="6" t="s">
        <v>203</v>
      </c>
      <c r="E62" s="6" t="s">
        <v>202</v>
      </c>
    </row>
    <row r="63" spans="2:5" x14ac:dyDescent="0.2">
      <c r="B63" t="s">
        <v>161</v>
      </c>
      <c r="C63" s="6" t="s">
        <v>202</v>
      </c>
      <c r="D63" s="6" t="s">
        <v>203</v>
      </c>
      <c r="E63" s="6" t="s">
        <v>203</v>
      </c>
    </row>
    <row r="64" spans="2:5" x14ac:dyDescent="0.2">
      <c r="B64" t="s">
        <v>162</v>
      </c>
      <c r="C64" s="6" t="s">
        <v>202</v>
      </c>
      <c r="D64" s="6" t="s">
        <v>203</v>
      </c>
      <c r="E64" s="6" t="s">
        <v>203</v>
      </c>
    </row>
    <row r="65" spans="2:5" x14ac:dyDescent="0.2">
      <c r="B65" t="s">
        <v>163</v>
      </c>
      <c r="C65" s="6" t="s">
        <v>202</v>
      </c>
      <c r="D65" s="6" t="s">
        <v>203</v>
      </c>
      <c r="E65" s="6" t="s">
        <v>202</v>
      </c>
    </row>
    <row r="66" spans="2:5" x14ac:dyDescent="0.2">
      <c r="B66" t="s">
        <v>164</v>
      </c>
      <c r="C66" s="6" t="s">
        <v>202</v>
      </c>
      <c r="D66" s="6" t="s">
        <v>203</v>
      </c>
      <c r="E66" s="6" t="s">
        <v>202</v>
      </c>
    </row>
    <row r="67" spans="2:5" x14ac:dyDescent="0.2">
      <c r="B67" t="s">
        <v>165</v>
      </c>
      <c r="C67" s="6" t="s">
        <v>202</v>
      </c>
      <c r="D67" s="6" t="s">
        <v>203</v>
      </c>
      <c r="E67" s="6" t="s">
        <v>202</v>
      </c>
    </row>
    <row r="68" spans="2:5" x14ac:dyDescent="0.2">
      <c r="B68" t="s">
        <v>166</v>
      </c>
      <c r="C68" s="6" t="s">
        <v>202</v>
      </c>
      <c r="D68" s="6" t="s">
        <v>203</v>
      </c>
      <c r="E68" s="6" t="s">
        <v>202</v>
      </c>
    </row>
    <row r="69" spans="2:5" x14ac:dyDescent="0.2">
      <c r="B69" t="s">
        <v>167</v>
      </c>
      <c r="C69" s="6" t="s">
        <v>202</v>
      </c>
      <c r="D69" s="6" t="s">
        <v>203</v>
      </c>
      <c r="E69" s="6" t="s">
        <v>202</v>
      </c>
    </row>
    <row r="70" spans="2:5" x14ac:dyDescent="0.2">
      <c r="B70" t="s">
        <v>168</v>
      </c>
      <c r="C70" s="6" t="s">
        <v>202</v>
      </c>
      <c r="D70" s="6" t="s">
        <v>203</v>
      </c>
      <c r="E70" s="6" t="s">
        <v>203</v>
      </c>
    </row>
    <row r="71" spans="2:5" x14ac:dyDescent="0.2">
      <c r="B71" t="s">
        <v>169</v>
      </c>
      <c r="C71" s="6" t="s">
        <v>202</v>
      </c>
      <c r="D71" s="6" t="s">
        <v>203</v>
      </c>
      <c r="E71" s="6" t="s">
        <v>203</v>
      </c>
    </row>
    <row r="72" spans="2:5" x14ac:dyDescent="0.2">
      <c r="B72" t="s">
        <v>170</v>
      </c>
      <c r="C72" s="6" t="s">
        <v>202</v>
      </c>
      <c r="D72" s="6" t="s">
        <v>203</v>
      </c>
      <c r="E72" s="6" t="s">
        <v>202</v>
      </c>
    </row>
    <row r="73" spans="2:5" x14ac:dyDescent="0.2">
      <c r="B73" t="s">
        <v>171</v>
      </c>
      <c r="C73" s="6" t="s">
        <v>202</v>
      </c>
      <c r="D73" s="6" t="s">
        <v>203</v>
      </c>
      <c r="E73" s="6" t="s">
        <v>202</v>
      </c>
    </row>
    <row r="74" spans="2:5" x14ac:dyDescent="0.2">
      <c r="B74" t="s">
        <v>172</v>
      </c>
      <c r="C74" s="6" t="s">
        <v>202</v>
      </c>
      <c r="D74" s="6" t="s">
        <v>203</v>
      </c>
      <c r="E74" s="6" t="s">
        <v>203</v>
      </c>
    </row>
    <row r="75" spans="2:5" x14ac:dyDescent="0.2">
      <c r="B75" t="s">
        <v>173</v>
      </c>
      <c r="C75" s="6" t="s">
        <v>202</v>
      </c>
      <c r="D75" s="6" t="s">
        <v>203</v>
      </c>
      <c r="E75" s="6" t="s">
        <v>203</v>
      </c>
    </row>
    <row r="76" spans="2:5" x14ac:dyDescent="0.2">
      <c r="B76" t="s">
        <v>174</v>
      </c>
      <c r="C76" s="6" t="s">
        <v>202</v>
      </c>
      <c r="D76" s="6" t="s">
        <v>203</v>
      </c>
      <c r="E76" s="6" t="s">
        <v>202</v>
      </c>
    </row>
    <row r="77" spans="2:5" x14ac:dyDescent="0.2">
      <c r="B77" t="s">
        <v>175</v>
      </c>
      <c r="C77" s="6" t="s">
        <v>202</v>
      </c>
      <c r="D77" s="6" t="s">
        <v>203</v>
      </c>
      <c r="E77" s="6" t="s">
        <v>202</v>
      </c>
    </row>
    <row r="78" spans="2:5" x14ac:dyDescent="0.2">
      <c r="B78" t="s">
        <v>176</v>
      </c>
      <c r="C78" s="6" t="s">
        <v>202</v>
      </c>
      <c r="D78" s="6" t="s">
        <v>203</v>
      </c>
      <c r="E78" s="6" t="s">
        <v>202</v>
      </c>
    </row>
    <row r="79" spans="2:5" x14ac:dyDescent="0.2">
      <c r="B79" t="s">
        <v>177</v>
      </c>
      <c r="C79" s="6" t="s">
        <v>202</v>
      </c>
      <c r="D79" s="6" t="s">
        <v>203</v>
      </c>
      <c r="E79" s="6" t="s">
        <v>202</v>
      </c>
    </row>
    <row r="80" spans="2:5" x14ac:dyDescent="0.2">
      <c r="B80" t="s">
        <v>178</v>
      </c>
      <c r="C80" s="6" t="s">
        <v>202</v>
      </c>
      <c r="D80" s="6" t="s">
        <v>203</v>
      </c>
      <c r="E80" s="6" t="s">
        <v>202</v>
      </c>
    </row>
    <row r="81" spans="2:5" x14ac:dyDescent="0.2">
      <c r="B81" t="s">
        <v>179</v>
      </c>
      <c r="C81" s="6" t="s">
        <v>202</v>
      </c>
      <c r="D81" s="6" t="s">
        <v>203</v>
      </c>
      <c r="E81" s="6" t="s">
        <v>202</v>
      </c>
    </row>
    <row r="82" spans="2:5" x14ac:dyDescent="0.2">
      <c r="B82" t="s">
        <v>180</v>
      </c>
      <c r="C82" s="6" t="s">
        <v>202</v>
      </c>
      <c r="D82" s="6" t="s">
        <v>203</v>
      </c>
      <c r="E82" s="6" t="s">
        <v>202</v>
      </c>
    </row>
    <row r="83" spans="2:5" x14ac:dyDescent="0.2">
      <c r="B83" t="s">
        <v>181</v>
      </c>
      <c r="C83" s="6" t="s">
        <v>202</v>
      </c>
      <c r="D83" s="6" t="s">
        <v>203</v>
      </c>
      <c r="E83" s="6" t="s">
        <v>202</v>
      </c>
    </row>
    <row r="84" spans="2:5" x14ac:dyDescent="0.2">
      <c r="B84" t="s">
        <v>182</v>
      </c>
      <c r="C84" s="6" t="s">
        <v>202</v>
      </c>
      <c r="D84" s="6" t="s">
        <v>203</v>
      </c>
      <c r="E84" s="6" t="s">
        <v>203</v>
      </c>
    </row>
    <row r="85" spans="2:5" x14ac:dyDescent="0.2">
      <c r="B85" t="s">
        <v>183</v>
      </c>
      <c r="C85" s="6" t="s">
        <v>202</v>
      </c>
      <c r="D85" s="6" t="s">
        <v>203</v>
      </c>
      <c r="E85" s="6" t="s">
        <v>203</v>
      </c>
    </row>
    <row r="86" spans="2:5" x14ac:dyDescent="0.2">
      <c r="B86" t="s">
        <v>184</v>
      </c>
      <c r="C86" s="6" t="s">
        <v>202</v>
      </c>
      <c r="D86" s="6" t="s">
        <v>203</v>
      </c>
      <c r="E86" s="6" t="s">
        <v>202</v>
      </c>
    </row>
    <row r="87" spans="2:5" x14ac:dyDescent="0.2">
      <c r="B87" t="s">
        <v>185</v>
      </c>
      <c r="C87" s="6" t="s">
        <v>202</v>
      </c>
      <c r="D87" s="6" t="s">
        <v>203</v>
      </c>
      <c r="E87" s="6" t="s">
        <v>202</v>
      </c>
    </row>
    <row r="88" spans="2:5" x14ac:dyDescent="0.2">
      <c r="B88" t="s">
        <v>186</v>
      </c>
      <c r="C88" s="6" t="s">
        <v>202</v>
      </c>
      <c r="D88" s="6" t="s">
        <v>203</v>
      </c>
      <c r="E88" s="6" t="s">
        <v>203</v>
      </c>
    </row>
    <row r="89" spans="2:5" x14ac:dyDescent="0.2">
      <c r="B89" t="s">
        <v>187</v>
      </c>
      <c r="C89" s="6" t="s">
        <v>203</v>
      </c>
      <c r="D89" s="6" t="s">
        <v>203</v>
      </c>
      <c r="E89" s="6" t="s">
        <v>202</v>
      </c>
    </row>
    <row r="90" spans="2:5" x14ac:dyDescent="0.2">
      <c r="B90" t="s">
        <v>188</v>
      </c>
      <c r="C90" s="6" t="s">
        <v>203</v>
      </c>
      <c r="D90" s="6" t="s">
        <v>203</v>
      </c>
      <c r="E90" s="6" t="s">
        <v>202</v>
      </c>
    </row>
    <row r="91" spans="2:5" x14ac:dyDescent="0.2">
      <c r="B91" t="s">
        <v>189</v>
      </c>
      <c r="C91" s="6" t="s">
        <v>202</v>
      </c>
      <c r="D91" s="6" t="s">
        <v>203</v>
      </c>
      <c r="E91" s="6" t="s">
        <v>203</v>
      </c>
    </row>
    <row r="92" spans="2:5" x14ac:dyDescent="0.2">
      <c r="B92" t="s">
        <v>190</v>
      </c>
      <c r="C92" s="6" t="s">
        <v>202</v>
      </c>
      <c r="D92" s="6" t="s">
        <v>203</v>
      </c>
      <c r="E92" s="6" t="s">
        <v>203</v>
      </c>
    </row>
    <row r="93" spans="2:5" x14ac:dyDescent="0.2">
      <c r="B93" t="s">
        <v>191</v>
      </c>
      <c r="C93" s="6" t="s">
        <v>202</v>
      </c>
      <c r="D93" s="6" t="s">
        <v>203</v>
      </c>
      <c r="E93" s="6" t="s">
        <v>203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Invite List</vt:lpstr>
      <vt:lpstr>England and Scotland</vt:lpstr>
      <vt:lpstr>France</vt:lpstr>
      <vt:lpstr>John B</vt:lpstr>
      <vt:lpstr>Darling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Boddiford, John</dc:creator>
  <cp:lastModifiedBy>John Boddiford</cp:lastModifiedBy>
  <dcterms:created xsi:type="dcterms:W3CDTF">2025-10-26T19:59:39Z</dcterms:created>
  <dcterms:modified xsi:type="dcterms:W3CDTF">2025-11-03T00:21:09Z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be3eb5-c2ae-4da4-82cc-5677c0ccacc0_Enabled">
    <vt:lpwstr>true</vt:lpwstr>
  </property>
  <property fmtid="{D5CDD505-2E9C-101B-9397-08002B2CF9AE}" pid="3" name="MSIP_Label_6dbe3eb5-c2ae-4da4-82cc-5677c0ccacc0_SetDate">
    <vt:lpwstr>2025-10-26T21:09:03Z</vt:lpwstr>
  </property>
  <property fmtid="{D5CDD505-2E9C-101B-9397-08002B2CF9AE}" pid="4" name="MSIP_Label_6dbe3eb5-c2ae-4da4-82cc-5677c0ccacc0_Method">
    <vt:lpwstr>Standard</vt:lpwstr>
  </property>
  <property fmtid="{D5CDD505-2E9C-101B-9397-08002B2CF9AE}" pid="5" name="MSIP_Label_6dbe3eb5-c2ae-4da4-82cc-5677c0ccacc0_Name">
    <vt:lpwstr>defa4170-0d19-0005-0004-bc88714345d2</vt:lpwstr>
  </property>
  <property fmtid="{D5CDD505-2E9C-101B-9397-08002B2CF9AE}" pid="6" name="MSIP_Label_6dbe3eb5-c2ae-4da4-82cc-5677c0ccacc0_SiteId">
    <vt:lpwstr>fa7e0438-d050-4701-ab89-8ae378647e1b</vt:lpwstr>
  </property>
  <property fmtid="{D5CDD505-2E9C-101B-9397-08002B2CF9AE}" pid="7" name="MSIP_Label_6dbe3eb5-c2ae-4da4-82cc-5677c0ccacc0_ActionId">
    <vt:lpwstr>e73b1324-b67e-45bd-8c0e-c1704cab4533</vt:lpwstr>
  </property>
  <property fmtid="{D5CDD505-2E9C-101B-9397-08002B2CF9AE}" pid="8" name="MSIP_Label_6dbe3eb5-c2ae-4da4-82cc-5677c0ccacc0_ContentBits">
    <vt:lpwstr>0</vt:lpwstr>
  </property>
  <property fmtid="{D5CDD505-2E9C-101B-9397-08002B2CF9AE}" pid="9" name="MSIP_Label_6dbe3eb5-c2ae-4da4-82cc-5677c0ccacc0_Tag">
    <vt:lpwstr>10, 3, 0, 1</vt:lpwstr>
  </property>
</Properties>
</file>